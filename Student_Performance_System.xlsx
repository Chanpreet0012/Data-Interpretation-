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s695\OneDrive\Desktop\"/>
    </mc:Choice>
  </mc:AlternateContent>
  <xr:revisionPtr revIDLastSave="0" documentId="8_{B1A49B96-BA01-4959-AB2A-07A61369009A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Raw Data" sheetId="1" r:id="rId1"/>
    <sheet name="Analysis" sheetId="2" r:id="rId2"/>
    <sheet name="Dashboard" sheetId="3" r:id="rId3"/>
    <sheet name="Prediction" sheetId="4" r:id="rId4"/>
    <sheet name="Insights" sheetId="5" r:id="rId5"/>
    <sheet name="Formula Guid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6" i="5" l="1"/>
  <c r="A4" i="5"/>
  <c r="B15" i="4"/>
  <c r="B20" i="4" s="1"/>
  <c r="B14" i="4"/>
  <c r="G6" i="3"/>
  <c r="B33" i="2"/>
  <c r="F22" i="2"/>
  <c r="B21" i="2"/>
  <c r="B19" i="2"/>
  <c r="B15" i="2"/>
  <c r="B14" i="2"/>
  <c r="H9" i="2"/>
  <c r="G9" i="2"/>
  <c r="F9" i="2"/>
  <c r="H8" i="2"/>
  <c r="G8" i="2"/>
  <c r="F8" i="2"/>
  <c r="H7" i="2"/>
  <c r="G7" i="2"/>
  <c r="F7" i="2"/>
  <c r="B7" i="2"/>
  <c r="H6" i="2"/>
  <c r="G6" i="2"/>
  <c r="F6" i="2"/>
  <c r="B6" i="2"/>
  <c r="J6" i="3" s="1"/>
  <c r="H5" i="2"/>
  <c r="G5" i="2"/>
  <c r="F5" i="2"/>
  <c r="B4" i="2"/>
  <c r="A6" i="3" s="1"/>
  <c r="Q27" i="1"/>
  <c r="P27" i="1"/>
  <c r="O27" i="1"/>
  <c r="N27" i="1"/>
  <c r="R27" i="1" s="1"/>
  <c r="M27" i="1"/>
  <c r="R26" i="1"/>
  <c r="Q26" i="1"/>
  <c r="P26" i="1"/>
  <c r="O26" i="1"/>
  <c r="N26" i="1"/>
  <c r="M26" i="1"/>
  <c r="Q25" i="1"/>
  <c r="P25" i="1"/>
  <c r="O25" i="1"/>
  <c r="N25" i="1"/>
  <c r="R25" i="1" s="1"/>
  <c r="M25" i="1"/>
  <c r="R24" i="1"/>
  <c r="Q24" i="1"/>
  <c r="P24" i="1"/>
  <c r="O24" i="1"/>
  <c r="N24" i="1"/>
  <c r="M24" i="1"/>
  <c r="Q23" i="1"/>
  <c r="P23" i="1"/>
  <c r="O23" i="1"/>
  <c r="N23" i="1"/>
  <c r="R23" i="1" s="1"/>
  <c r="M23" i="1"/>
  <c r="R22" i="1"/>
  <c r="Q22" i="1"/>
  <c r="P22" i="1"/>
  <c r="O22" i="1"/>
  <c r="N22" i="1"/>
  <c r="M22" i="1"/>
  <c r="Q21" i="1"/>
  <c r="P21" i="1"/>
  <c r="O21" i="1"/>
  <c r="N21" i="1"/>
  <c r="R21" i="1" s="1"/>
  <c r="M21" i="1"/>
  <c r="R20" i="1"/>
  <c r="Q20" i="1"/>
  <c r="P20" i="1"/>
  <c r="O20" i="1"/>
  <c r="N20" i="1"/>
  <c r="M20" i="1"/>
  <c r="Q19" i="1"/>
  <c r="P19" i="1"/>
  <c r="O19" i="1"/>
  <c r="N19" i="1"/>
  <c r="R19" i="1" s="1"/>
  <c r="M19" i="1"/>
  <c r="R18" i="1"/>
  <c r="Q18" i="1"/>
  <c r="P18" i="1"/>
  <c r="O18" i="1"/>
  <c r="N18" i="1"/>
  <c r="M18" i="1"/>
  <c r="Q17" i="1"/>
  <c r="P17" i="1"/>
  <c r="O17" i="1"/>
  <c r="N17" i="1"/>
  <c r="R17" i="1" s="1"/>
  <c r="M17" i="1"/>
  <c r="R16" i="1"/>
  <c r="Q16" i="1"/>
  <c r="P16" i="1"/>
  <c r="O16" i="1"/>
  <c r="N16" i="1"/>
  <c r="M16" i="1"/>
  <c r="Q15" i="1"/>
  <c r="P15" i="1"/>
  <c r="O15" i="1"/>
  <c r="N15" i="1"/>
  <c r="R15" i="1" s="1"/>
  <c r="M15" i="1"/>
  <c r="R14" i="1"/>
  <c r="Q14" i="1"/>
  <c r="P14" i="1"/>
  <c r="O14" i="1"/>
  <c r="N14" i="1"/>
  <c r="M14" i="1"/>
  <c r="Q13" i="1"/>
  <c r="P13" i="1"/>
  <c r="O13" i="1"/>
  <c r="N13" i="1"/>
  <c r="R13" i="1" s="1"/>
  <c r="M13" i="1"/>
  <c r="R12" i="1"/>
  <c r="Q12" i="1"/>
  <c r="P12" i="1"/>
  <c r="O12" i="1"/>
  <c r="N12" i="1"/>
  <c r="M12" i="1"/>
  <c r="Q11" i="1"/>
  <c r="P11" i="1"/>
  <c r="O11" i="1"/>
  <c r="N11" i="1"/>
  <c r="R11" i="1" s="1"/>
  <c r="M11" i="1"/>
  <c r="R10" i="1"/>
  <c r="Q10" i="1"/>
  <c r="P10" i="1"/>
  <c r="O10" i="1"/>
  <c r="N10" i="1"/>
  <c r="M10" i="1"/>
  <c r="Q9" i="1"/>
  <c r="P9" i="1"/>
  <c r="O9" i="1"/>
  <c r="N9" i="1"/>
  <c r="R9" i="1" s="1"/>
  <c r="M9" i="1"/>
  <c r="R8" i="1"/>
  <c r="Q8" i="1"/>
  <c r="P8" i="1"/>
  <c r="O8" i="1"/>
  <c r="N8" i="1"/>
  <c r="M8" i="1"/>
  <c r="Q7" i="1"/>
  <c r="P7" i="1"/>
  <c r="O7" i="1"/>
  <c r="N7" i="1"/>
  <c r="R7" i="1" s="1"/>
  <c r="M7" i="1"/>
  <c r="R6" i="1"/>
  <c r="Q6" i="1"/>
  <c r="P6" i="1"/>
  <c r="O6" i="1"/>
  <c r="N6" i="1"/>
  <c r="M6" i="1"/>
  <c r="Q5" i="1"/>
  <c r="P5" i="1"/>
  <c r="O5" i="1"/>
  <c r="N5" i="1"/>
  <c r="R5" i="1" s="1"/>
  <c r="M5" i="1"/>
  <c r="R4" i="1"/>
  <c r="Q4" i="1"/>
  <c r="C19" i="2" s="1"/>
  <c r="P4" i="1"/>
  <c r="O4" i="1"/>
  <c r="F23" i="2" s="1"/>
  <c r="N4" i="1"/>
  <c r="M4" i="1"/>
  <c r="Q3" i="1"/>
  <c r="C30" i="2" s="1"/>
  <c r="P3" i="1"/>
  <c r="B9" i="2" s="1"/>
  <c r="O3" i="1"/>
  <c r="F25" i="2" s="1"/>
  <c r="N3" i="1"/>
  <c r="A7" i="5" s="1"/>
  <c r="M3" i="1"/>
  <c r="B31" i="2" l="1"/>
  <c r="B10" i="2"/>
  <c r="C21" i="2"/>
  <c r="B32" i="2"/>
  <c r="B16" i="4"/>
  <c r="F20" i="2"/>
  <c r="C31" i="2"/>
  <c r="R3" i="1"/>
  <c r="B12" i="2"/>
  <c r="P6" i="3" s="1"/>
  <c r="F21" i="2"/>
  <c r="C32" i="2"/>
  <c r="B17" i="4"/>
  <c r="B18" i="4"/>
  <c r="B13" i="2"/>
  <c r="B22" i="2"/>
  <c r="B5" i="2"/>
  <c r="D6" i="3" s="1"/>
  <c r="B8" i="2"/>
  <c r="C22" i="2"/>
  <c r="C33" i="2"/>
  <c r="B19" i="4"/>
  <c r="F24" i="2"/>
  <c r="F19" i="2"/>
  <c r="B20" i="2"/>
  <c r="B30" i="2"/>
  <c r="A13" i="5"/>
  <c r="C20" i="2"/>
  <c r="A10" i="5" l="1"/>
  <c r="B11" i="2"/>
  <c r="M6" i="3" s="1"/>
</calcChain>
</file>

<file path=xl/sharedStrings.xml><?xml version="1.0" encoding="utf-8"?>
<sst xmlns="http://schemas.openxmlformats.org/spreadsheetml/2006/main" count="282" uniqueCount="190">
  <si>
    <t>📊  STUDENT PERFORMANCE DATA — DATA INTERPRETATION LAB</t>
  </si>
  <si>
    <t>Student ID</t>
  </si>
  <si>
    <t>Student Name</t>
  </si>
  <si>
    <t>Section</t>
  </si>
  <si>
    <t>Gender</t>
  </si>
  <si>
    <t>Math</t>
  </si>
  <si>
    <t>Science</t>
  </si>
  <si>
    <t>English</t>
  </si>
  <si>
    <t>Hindi</t>
  </si>
  <si>
    <t>Social Studies</t>
  </si>
  <si>
    <t>Attendance (%)</t>
  </si>
  <si>
    <t>Study Hours/Day</t>
  </si>
  <si>
    <t>Stream</t>
  </si>
  <si>
    <t>Total Marks</t>
  </si>
  <si>
    <t>Average Marks</t>
  </si>
  <si>
    <t>Grade</t>
  </si>
  <si>
    <t>Pass/Fail</t>
  </si>
  <si>
    <t>Performance</t>
  </si>
  <si>
    <t>At-Risk</t>
  </si>
  <si>
    <t>S001</t>
  </si>
  <si>
    <t>A</t>
  </si>
  <si>
    <t>Male</t>
  </si>
  <si>
    <t>Engineering</t>
  </si>
  <si>
    <t>S002</t>
  </si>
  <si>
    <t>Female</t>
  </si>
  <si>
    <t>S003</t>
  </si>
  <si>
    <t>B</t>
  </si>
  <si>
    <t>Commerce</t>
  </si>
  <si>
    <t>S004</t>
  </si>
  <si>
    <t>S005</t>
  </si>
  <si>
    <t>Arts</t>
  </si>
  <si>
    <t>S006</t>
  </si>
  <si>
    <t>C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</si>
  <si>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</si>
  <si>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</si>
  <si>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</si>
  <si>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</si>
  <si>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</si>
  <si>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</si>
  <si>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</si>
  <si>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</si>
  <si>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</si>
  <si>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</si>
  <si>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</si>
  <si>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</si>
  <si>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</si>
  <si>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</si>
  <si>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</si>
  <si>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</si>
  <si>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</si>
  <si>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</si>
  <si>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</si>
  <si>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📈  STATISTICAL ANALYSIS SHEET</t>
  </si>
  <si>
    <t>▶  KEY PERFORMANCE INDICATORS</t>
  </si>
  <si>
    <t>▶  SUBJECT-WISE AVERAGES</t>
  </si>
  <si>
    <t>Total Students</t>
  </si>
  <si>
    <t>Subject</t>
  </si>
  <si>
    <t>Class Average</t>
  </si>
  <si>
    <t>Max</t>
  </si>
  <si>
    <t>Min</t>
  </si>
  <si>
    <t>Highest Score</t>
  </si>
  <si>
    <t>Lowest Score</t>
  </si>
  <si>
    <t>Pass Count</t>
  </si>
  <si>
    <t>Fail Count</t>
  </si>
  <si>
    <t>Pass Percentage</t>
  </si>
  <si>
    <t>At-Risk Students</t>
  </si>
  <si>
    <t>Excellent Students</t>
  </si>
  <si>
    <t>Poor Students</t>
  </si>
  <si>
    <t>Avg Study Hours</t>
  </si>
  <si>
    <t>Avg Attendance %</t>
  </si>
  <si>
    <t>▶  PERFORMANCE DISTRIBUTION</t>
  </si>
  <si>
    <t>▶  GRADE DISTRIBUTION</t>
  </si>
  <si>
    <t>Category</t>
  </si>
  <si>
    <t>Count</t>
  </si>
  <si>
    <t>Percentage</t>
  </si>
  <si>
    <t>Excellent</t>
  </si>
  <si>
    <t>A+</t>
  </si>
  <si>
    <t>Good</t>
  </si>
  <si>
    <t>Average</t>
  </si>
  <si>
    <t>B+</t>
  </si>
  <si>
    <t>Poor</t>
  </si>
  <si>
    <t>D</t>
  </si>
  <si>
    <t>F</t>
  </si>
  <si>
    <t>▶  STUDY HOURS vs MARKS (CORRELATION INSIGHT)</t>
  </si>
  <si>
    <t>Avg Marks</t>
  </si>
  <si>
    <t>🎓  STUDENT PERFORMANCE PREDICTION &amp; ANALYSIS SYSTEM</t>
  </si>
  <si>
    <t>Data Interpretation Lab  |  Interactive Dashboard  |  Academic Year 2024-25</t>
  </si>
  <si>
    <t>👥 Total Students</t>
  </si>
  <si>
    <t>📊 Average Marks</t>
  </si>
  <si>
    <t>✅ Pass %</t>
  </si>
  <si>
    <t>🏆 Top Score</t>
  </si>
  <si>
    <t>⚠ At-Risk</t>
  </si>
  <si>
    <t>⭐ Excellent</t>
  </si>
  <si>
    <t>━━━━━━━━━━━━━━━━━━━━━━━━━━━━━━━━━━  CHARTS &amp; VISUALIZATIONS  ━━━━━━━━━━━━━━━━━━━━━━━━━━━━━━━━━━━</t>
  </si>
  <si>
    <t>📌  Project: Student Performance Prediction &amp; Analysis System  |  Data Interpretation Lab  |  Built with Excel</t>
  </si>
  <si>
    <t>🔮  PERFORMANCE PREDICTION ENGINE</t>
  </si>
  <si>
    <t>▶  INPUT NEW STUDENT DATA FOR PREDICTION</t>
  </si>
  <si>
    <t>Math Score (out of 100):</t>
  </si>
  <si>
    <t>Science Score:</t>
  </si>
  <si>
    <t>English Score:</t>
  </si>
  <si>
    <t>Hindi Score:</t>
  </si>
  <si>
    <t>Social Studies Score:</t>
  </si>
  <si>
    <t>Attendance % :</t>
  </si>
  <si>
    <t>Study Hours/Day:</t>
  </si>
  <si>
    <t>▶  PREDICTED RESULTS</t>
  </si>
  <si>
    <t>Predicted Grade</t>
  </si>
  <si>
    <t>At-Risk Status</t>
  </si>
  <si>
    <t>Recommendation</t>
  </si>
  <si>
    <t>⚡  TIP: Change the input values in column B (yellow cells) — all predictions update automatically!</t>
  </si>
  <si>
    <t>💡  KEY INSIGHTS &amp; CONCLUSIONS</t>
  </si>
  <si>
    <t>📊 INSIGHT 1 — Overall Pass Rate</t>
  </si>
  <si>
    <t>🏆 INSIGHT 2 — Top Performer</t>
  </si>
  <si>
    <t>⚠ INSIGHT 3 — At-Risk Students</t>
  </si>
  <si>
    <t>📚 INSIGHT 4 — Study Hours Correlation</t>
  </si>
  <si>
    <t>🎯 INSIGHT 5 — Subject Performance</t>
  </si>
  <si>
    <t>📌 INSIGHT 6 — Attendance Impact</t>
  </si>
  <si>
    <t>Students with attendance below 75% show a significant drop in average marks (typically 15-20 marks lower). Maintaining ≥85% attendance is strongly recommended for academic success.</t>
  </si>
  <si>
    <t>📌 INSIGHT 7 — Gender Performance</t>
  </si>
  <si>
    <t>Female students in this dataset show a slightly higher average performance. However, individual effort and study hours remain the strongest predictors of success.</t>
  </si>
  <si>
    <t>📌 INSIGHT 8 — Stream Analysis</t>
  </si>
  <si>
    <t>Engineering stream students show the highest average marks, followed by Science. Arts stream students need additional academic support.</t>
  </si>
  <si>
    <t>🏁 CONCLUSION</t>
  </si>
  <si>
    <t>This analysis confirms that Study Hours, Attendance, and Subject Balance are the top 3 factors influencing student performance. Early identification of at-risk students and personalized intervention can significantly improve pass rates.</t>
  </si>
  <si>
    <t>📐  FORMULA REFERENCE GUIDE</t>
  </si>
  <si>
    <t>Formula Name</t>
  </si>
  <si>
    <t>Excel Formula</t>
  </si>
  <si>
    <t>Purpose / Logic</t>
  </si>
  <si>
    <t xml:space="preserve"> =ROUND(AVERAGE(E3:I3),1)</t>
  </si>
  <si>
    <t>Calculates mean of 5 subject scores</t>
  </si>
  <si>
    <t xml:space="preserve"> =SUM(E3:I3)</t>
  </si>
  <si>
    <t>Sum of all 5 subjects (max=500)</t>
  </si>
  <si>
    <t>Grade (A+ to F)</t>
  </si>
  <si>
    <t xml:space="preserve"> =IF(N3&gt;=90,"A+",IF(N3&gt;=80,"A",IF(N3&gt;=70,"B+",IF(N3&gt;=60,"B",IF(N3&gt;=50,"C",IF(N3&gt;=40,"D","F"))))))</t>
  </si>
  <si>
    <t>Nested IF: maps avg to letter grade</t>
  </si>
  <si>
    <t xml:space="preserve"> =IF(AND(N3&gt;=40,J3&gt;=60),"PASS","FAIL")</t>
  </si>
  <si>
    <t>Pass only if avg≥40 AND attendance≥60%</t>
  </si>
  <si>
    <t>Performance Category</t>
  </si>
  <si>
    <t xml:space="preserve"> =IF(N3&gt;=85,"Excellent",IF(N3&gt;=70,"Good",IF(N3&gt;=50,"Average","Poor")))</t>
  </si>
  <si>
    <t>4-tier classification by avg marks</t>
  </si>
  <si>
    <t>At-Risk Flag</t>
  </si>
  <si>
    <t xml:space="preserve"> =IF(OR(J3&lt;75,N3&lt;50),"⚠ At-Risk","Safe")</t>
  </si>
  <si>
    <t>Flag if attendance&lt;75% or avg&lt;50</t>
  </si>
  <si>
    <t>Count by Grade</t>
  </si>
  <si>
    <t xml:space="preserve"> =COUNTIF(O3:O27,"A+")</t>
  </si>
  <si>
    <t>Count students with specific grade</t>
  </si>
  <si>
    <t>Avg by Performance</t>
  </si>
  <si>
    <t xml:space="preserve"> =AVERAGEIF(Q3:Q27,"Excellent",N3:N27)</t>
  </si>
  <si>
    <t>Average marks for a performance tier</t>
  </si>
  <si>
    <t xml:space="preserve"> =COUNTIF(P3:P27,"PASS")/COUNTA(P3:P27)*100</t>
  </si>
  <si>
    <t>Ratio of passing students</t>
  </si>
  <si>
    <t>Top Scorer</t>
  </si>
  <si>
    <t xml:space="preserve"> =MAX(N3:N27)</t>
  </si>
  <si>
    <t>Highest average marks in class</t>
  </si>
  <si>
    <t>Below Average Count</t>
  </si>
  <si>
    <t xml:space="preserve"> =COUNTIF(N3:N27,"&lt;50")</t>
  </si>
  <si>
    <t>Students scoring below 50 average</t>
  </si>
  <si>
    <t>Section-wise Avg</t>
  </si>
  <si>
    <t xml:space="preserve"> =AVERAGEIF(C3:C27,"A",N3:N27)</t>
  </si>
  <si>
    <t>Average marks for Section A</t>
  </si>
  <si>
    <t>Conditional Flag</t>
  </si>
  <si>
    <t xml:space="preserve"> =IF(AND(K3&gt;=7,J3&gt;=85),"Star Student","Regular")</t>
  </si>
  <si>
    <t>Multi-condition labeling</t>
  </si>
  <si>
    <t>Rank in Class</t>
  </si>
  <si>
    <t xml:space="preserve"> =RANK(N3,N$3:N$27,0)</t>
  </si>
  <si>
    <t>Rank each student (1=highest)</t>
  </si>
  <si>
    <t>Chanpreet Singh</t>
  </si>
  <si>
    <t>Priya Sharma</t>
  </si>
  <si>
    <t>Karandeeep Singh</t>
  </si>
  <si>
    <t xml:space="preserve">Kushi </t>
  </si>
  <si>
    <t>Karan Kumar</t>
  </si>
  <si>
    <t>Anjali</t>
  </si>
  <si>
    <t xml:space="preserve">Bikaramjit </t>
  </si>
  <si>
    <t>Kanika Bansal</t>
  </si>
  <si>
    <t>Kapil</t>
  </si>
  <si>
    <t>Priyanka</t>
  </si>
  <si>
    <t>Yuvraj</t>
  </si>
  <si>
    <t>Konika</t>
  </si>
  <si>
    <t>Balpreet Singh</t>
  </si>
  <si>
    <t>Jasmeen</t>
  </si>
  <si>
    <t>Jobanpreet</t>
  </si>
  <si>
    <t>Anampreet</t>
  </si>
  <si>
    <t>Kishan Raj</t>
  </si>
  <si>
    <t>Shristi</t>
  </si>
  <si>
    <t>Purav jha</t>
  </si>
  <si>
    <t>Mehak</t>
  </si>
  <si>
    <t>Rijul</t>
  </si>
  <si>
    <t>Tanvi</t>
  </si>
  <si>
    <t>Lovepreet</t>
  </si>
  <si>
    <t xml:space="preserve">Pari </t>
  </si>
  <si>
    <t>Karampreet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</si>
</sst>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1C1C1C"/>
      <name val="Calibri"/>
      <charset val="1"/>
    </font>
    <font>
      <b/>
      <sz val="10"/>
      <color rgb="FF1C1C1C"/>
      <name val="Calibri"/>
      <charset val="1"/>
    </font>
    <font>
      <b/>
      <sz val="11"/>
      <color rgb="FFFFFFFF"/>
      <name val="Calibri"/>
      <charset val="1"/>
    </font>
    <font>
      <b/>
      <sz val="10"/>
      <color rgb="FF1B2A4A"/>
      <name val="Calibri"/>
      <charset val="1"/>
    </font>
    <font>
      <b/>
      <sz val="11"/>
      <color rgb="FF1C1C1C"/>
      <name val="Calibri"/>
      <charset val="1"/>
    </font>
    <font>
      <b/>
      <sz val="18"/>
      <color rgb="FFFFFFFF"/>
      <name val="Calibri"/>
      <charset val="1"/>
    </font>
    <font>
      <i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18"/>
      <color rgb="FF1B2A4A"/>
      <name val="Calibri"/>
      <charset val="1"/>
    </font>
    <font>
      <b/>
      <sz val="18"/>
      <color rgb="FF2E5EAA"/>
      <name val="Calibri"/>
      <charset val="1"/>
    </font>
    <font>
      <b/>
      <sz val="18"/>
      <color rgb="FF17A589"/>
      <name val="Calibri"/>
      <charset val="1"/>
    </font>
    <font>
      <b/>
      <sz val="18"/>
      <color rgb="FF27AE60"/>
      <name val="Calibri"/>
      <charset val="1"/>
    </font>
    <font>
      <b/>
      <sz val="18"/>
      <color rgb="FFE74C3C"/>
      <name val="Calibri"/>
      <charset val="1"/>
    </font>
    <font>
      <b/>
      <sz val="18"/>
      <color rgb="FFF39C12"/>
      <name val="Calibri"/>
      <charset val="1"/>
    </font>
    <font>
      <i/>
      <sz val="9"/>
      <color rgb="FFFFFFFF"/>
      <name val="Calibri"/>
      <charset val="1"/>
    </font>
    <font>
      <b/>
      <sz val="11"/>
      <color rgb="FF2E5EAA"/>
      <name val="Calibri"/>
      <charset val="1"/>
    </font>
    <font>
      <i/>
      <sz val="10"/>
      <color rgb="FFE67E22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1C1C1C"/>
      </patternFill>
    </fill>
    <fill>
      <patternFill patternType="solid">
        <fgColor rgb="FF2E5EAA"/>
        <bgColor rgb="FF4672A8"/>
      </patternFill>
    </fill>
    <fill>
      <patternFill patternType="solid">
        <fgColor rgb="FFFFFFFF"/>
        <bgColor rgb="FFF9F9F9"/>
      </patternFill>
    </fill>
    <fill>
      <patternFill patternType="solid">
        <fgColor rgb="FFF2F4F7"/>
        <bgColor rgb="FFF9F9F9"/>
      </patternFill>
    </fill>
    <fill>
      <patternFill patternType="solid">
        <fgColor rgb="FF17A589"/>
        <bgColor rgb="FF27AE60"/>
      </patternFill>
    </fill>
    <fill>
      <patternFill patternType="solid">
        <fgColor rgb="FF8E44AD"/>
        <bgColor rgb="FF725990"/>
      </patternFill>
    </fill>
    <fill>
      <patternFill patternType="solid">
        <fgColor rgb="FFD6E4F7"/>
        <bgColor rgb="FFD9D9D9"/>
      </patternFill>
    </fill>
    <fill>
      <patternFill patternType="solid">
        <fgColor rgb="FFE67E22"/>
        <bgColor rgb="FFDC853E"/>
      </patternFill>
    </fill>
    <fill>
      <patternFill patternType="solid">
        <fgColor rgb="FFFFFDE7"/>
        <bgColor rgb="FFF9F9F9"/>
      </patternFill>
    </fill>
    <fill>
      <patternFill patternType="solid">
        <fgColor rgb="FF27AE60"/>
        <bgColor rgb="FF17A589"/>
      </patternFill>
    </fill>
    <fill>
      <patternFill patternType="solid">
        <fgColor rgb="FFE74C3C"/>
        <bgColor rgb="FFBE4B4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2E5EAA"/>
      </left>
      <right/>
      <top style="medium">
        <color rgb="FF2E5EAA"/>
      </top>
      <bottom style="medium">
        <color rgb="FF2E5EAA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medium">
        <color rgb="FF2E5EAA"/>
      </left>
      <right style="medium">
        <color rgb="FF2E5EAA"/>
      </right>
      <top style="medium">
        <color rgb="FF2E5EAA"/>
      </top>
      <bottom style="medium">
        <color rgb="FF2E5EA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6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0" fontId="2" fillId="12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A04000"/>
      </font>
      <fill>
        <patternFill>
          <bgColor rgb="FFFDEBD0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1E8449"/>
      </font>
      <fill>
        <patternFill>
          <bgColor rgb="FFD5F5E3"/>
        </patternFill>
      </fill>
    </dxf>
    <dxf>
      <font>
        <b/>
        <color rgb="FF922B21"/>
      </font>
      <fill>
        <patternFill>
          <bgColor rgb="FFFADBD8"/>
        </patternFill>
      </fill>
    </dxf>
    <dxf>
      <font>
        <b/>
        <color rgb="FF1E8449"/>
      </font>
      <fill>
        <patternFill>
          <bgColor rgb="FFC8F7C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74C3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E4B48"/>
      <rgbColor rgb="FF8E44AD"/>
      <rgbColor rgb="FF1E8449"/>
      <rgbColor rgb="FFBDC3C7"/>
      <rgbColor rgb="FF878787"/>
      <rgbColor rgb="FF93A9CE"/>
      <rgbColor rgb="FFAB4744"/>
      <rgbColor rgb="FFFFFDE7"/>
      <rgbColor rgb="FFD5F5E3"/>
      <rgbColor rgb="FF660066"/>
      <rgbColor rgb="FFDC853E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17A589"/>
      <rgbColor rgb="FF0000FF"/>
      <rgbColor rgb="FF00CCFF"/>
      <rgbColor rgb="FFD6E4F7"/>
      <rgbColor rgb="FFC8F7C5"/>
      <rgbColor rgb="FFFDEBD0"/>
      <rgbColor rgb="FFF2F4F7"/>
      <rgbColor rgb="FFF9F9F9"/>
      <rgbColor rgb="FF4F81BD"/>
      <rgbColor rgb="FFFADBD8"/>
      <rgbColor rgb="FF4A7EBB"/>
      <rgbColor rgb="FF4299B0"/>
      <rgbColor rgb="FF99CC00"/>
      <rgbColor rgb="FFFFCC00"/>
      <rgbColor rgb="FFF39C12"/>
      <rgbColor rgb="FFE67E22"/>
      <rgbColor rgb="FF725990"/>
      <rgbColor rgb="FF8AA64F"/>
      <rgbColor rgb="FF003366"/>
      <rgbColor rgb="FF27AE60"/>
      <rgbColor rgb="FF003300"/>
      <rgbColor rgb="FF1C1C1C"/>
      <rgbColor rgb="FFA04000"/>
      <rgbColor rgb="FF922B21"/>
      <rgbColor rgb="FF4672A8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Performance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5E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Analysis!$A$19:$A$22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Analysis!$B$19:$B$22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3-44F7-B248-D7AD53A67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420024"/>
        <c:axId val="46042863"/>
      </c:barChart>
      <c:catAx>
        <c:axId val="754200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42863"/>
        <c:crosses val="autoZero"/>
        <c:auto val="1"/>
        <c:lblAlgn val="ctr"/>
        <c:lblOffset val="100"/>
        <c:noMultiLvlLbl val="0"/>
      </c:catAx>
      <c:valAx>
        <c:axId val="46042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No.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42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Grade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Analysis!$F$18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0C1-42EE-B0D2-B9B8FE0DFDCC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0C1-42EE-B0D2-B9B8FE0DFDCC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0C1-42EE-B0D2-B9B8FE0DFDCC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0C1-42EE-B0D2-B9B8FE0DFDCC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20C1-42EE-B0D2-B9B8FE0DFDCC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20C1-42EE-B0D2-B9B8FE0DFDCC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20C1-42EE-B0D2-B9B8FE0DFDC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0C1-42EE-B0D2-B9B8FE0DFDC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0C1-42EE-B0D2-B9B8FE0DFDC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0C1-42EE-B0D2-B9B8FE0DFDC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0C1-42EE-B0D2-B9B8FE0DFDCC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0C1-42EE-B0D2-B9B8FE0DFDCC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0C1-42EE-B0D2-B9B8FE0DFDCC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20C1-42EE-B0D2-B9B8FE0DFD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Analysis!$E$19:$E$25</c:f>
              <c:strCache>
                <c:ptCount val="7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</c:v>
                </c:pt>
                <c:pt idx="5">
                  <c:v>D</c:v>
                </c:pt>
                <c:pt idx="6">
                  <c:v>F</c:v>
                </c:pt>
              </c:strCache>
            </c:strRef>
          </c:cat>
          <c:val>
            <c:numRef>
              <c:f>Analysis!$F$19:$F$25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0C1-42EE-B0D2-B9B8FE0DF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Subject-wise Class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Analysis!$F$4</c:f>
              <c:strCache>
                <c:ptCount val="1"/>
                <c:pt idx="0">
                  <c:v>Class Average</c:v>
                </c:pt>
              </c:strCache>
            </c:strRef>
          </c:tx>
          <c:spPr>
            <a:solidFill>
              <a:srgbClr val="17A58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Analysis!$E$5:$E$9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Hindi</c:v>
                </c:pt>
                <c:pt idx="4">
                  <c:v>Social Studies</c:v>
                </c:pt>
              </c:strCache>
            </c:strRef>
          </c:cat>
          <c:val>
            <c:numRef>
              <c:f>Analysis!$F$5:$F$9</c:f>
              <c:numCache>
                <c:formatCode>General</c:formatCode>
                <c:ptCount val="5"/>
                <c:pt idx="0">
                  <c:v>69.8</c:v>
                </c:pt>
                <c:pt idx="1">
                  <c:v>71.5</c:v>
                </c:pt>
                <c:pt idx="2">
                  <c:v>69.099999999999994</c:v>
                </c:pt>
                <c:pt idx="3">
                  <c:v>70.2</c:v>
                </c:pt>
                <c:pt idx="4">
                  <c:v>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0-4D3A-8A84-AC2F1C5E4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95358"/>
        <c:axId val="81662842"/>
      </c:barChart>
      <c:catAx>
        <c:axId val="27953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62842"/>
        <c:crosses val="autoZero"/>
        <c:auto val="1"/>
        <c:lblAlgn val="ctr"/>
        <c:lblOffset val="100"/>
        <c:noMultiLvlLbl val="0"/>
      </c:catAx>
      <c:valAx>
        <c:axId val="81662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Average 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95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Study Hours vs Avg Marks (by Performance)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Analysis!$B$29</c:f>
              <c:strCache>
                <c:ptCount val="1"/>
                <c:pt idx="0">
                  <c:v>Avg Study Hours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Analysis!$A$30:$A$33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Analysis!$B$30:$B$33</c:f>
              <c:numCache>
                <c:formatCode>General</c:formatCode>
                <c:ptCount val="4"/>
                <c:pt idx="0">
                  <c:v>8.6999999999999993</c:v>
                </c:pt>
                <c:pt idx="1">
                  <c:v>6.3</c:v>
                </c:pt>
                <c:pt idx="2">
                  <c:v>3.9</c:v>
                </c:pt>
                <c:pt idx="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CE-4C70-BE5B-5A93EEB4BE9F}"/>
            </c:ext>
          </c:extLst>
        </c:ser>
        <c:ser>
          <c:idx val="1"/>
          <c:order val="1"/>
          <c:tx>
            <c:strRef>
              <c:f>Analysis!$C$29</c:f>
              <c:strCache>
                <c:ptCount val="1"/>
                <c:pt idx="0">
                  <c:v>Avg Marks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Analysis!$A$30:$A$33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Analysis!$C$30:$C$33</c:f>
              <c:numCache>
                <c:formatCode>General</c:formatCode>
                <c:ptCount val="4"/>
                <c:pt idx="0">
                  <c:v>92.1</c:v>
                </c:pt>
                <c:pt idx="1">
                  <c:v>78</c:v>
                </c:pt>
                <c:pt idx="2">
                  <c:v>59.4</c:v>
                </c:pt>
                <c:pt idx="3">
                  <c:v>39.9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CE-4C70-BE5B-5A93EEB4B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444460"/>
        <c:axId val="11640472"/>
      </c:lineChart>
      <c:catAx>
        <c:axId val="76444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Performance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40472"/>
        <c:crosses val="autoZero"/>
        <c:auto val="1"/>
        <c:lblAlgn val="ctr"/>
        <c:lblOffset val="100"/>
        <c:noMultiLvlLbl val="0"/>
      </c:catAx>
      <c:valAx>
        <c:axId val="11640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4444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7</xdr:col>
      <xdr:colOff>105840</xdr:colOff>
      <xdr:row>25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16</xdr:col>
      <xdr:colOff>105480</xdr:colOff>
      <xdr:row>25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7</xdr:col>
      <xdr:colOff>105840</xdr:colOff>
      <xdr:row>47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16</xdr:col>
      <xdr:colOff>105480</xdr:colOff>
      <xdr:row>47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showGridLines="0" tabSelected="1" zoomScaleNormal="100" workbookViewId="0">
      <pane ySplit="2" topLeftCell="A3" activePane="bottomLeft" state="frozen"/>
      <selection pane="bottomLeft" activeCell="B27" sqref="B27"/>
    </sheetView>
  </sheetViews>
  <sheetFormatPr defaultColWidth="8.6640625" defaultRowHeight="14.4" x14ac:dyDescent="0.3"/>
  <cols>
    <col min="1" max="1" width="11" customWidth="1"/>
    <col min="2" max="2" width="20" customWidth="1"/>
    <col min="3" max="4" width="9" customWidth="1"/>
    <col min="5" max="5" width="7" customWidth="1"/>
    <col min="6" max="7" width="9" customWidth="1"/>
    <col min="8" max="8" width="7" customWidth="1"/>
    <col min="9" max="9" width="16" customWidth="1"/>
    <col min="10" max="10" width="14" customWidth="1"/>
    <col min="11" max="11" width="16" customWidth="1"/>
    <col min="12" max="13" width="12" customWidth="1"/>
    <col min="14" max="14" width="14" customWidth="1"/>
    <col min="15" max="15" width="8" customWidth="1"/>
    <col min="16" max="16" width="10" customWidth="1"/>
    <col min="17" max="17" width="13" customWidth="1"/>
    <col min="18" max="18" width="9" customWidth="1"/>
  </cols>
  <sheetData>
    <row r="1" spans="1:18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1.75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</row>
    <row r="3" spans="1:18" x14ac:dyDescent="0.3">
      <c r="A3" s="16" t="s">
        <v>19</v>
      </c>
      <c r="B3" s="17" t="s">
        <v>165</v>
      </c>
      <c r="C3" s="16" t="s">
        <v>20</v>
      </c>
      <c r="D3" s="16" t="s">
        <v>21</v>
      </c>
      <c r="E3" s="16">
        <v>78</v>
      </c>
      <c r="F3" s="16">
        <v>82</v>
      </c>
      <c r="G3" s="16">
        <v>75</v>
      </c>
      <c r="H3" s="16">
        <v>80</v>
      </c>
      <c r="I3" s="16">
        <v>85</v>
      </c>
      <c r="J3" s="16">
        <v>88</v>
      </c>
      <c r="K3" s="16">
        <v>6.5</v>
      </c>
      <c r="L3" s="16" t="s">
        <v>22</v>
      </c>
      <c r="M3" s="16">
        <f t="shared" ref="M3:M27" si="0">SUM(E3:I3)</f>
        <v>400</v>
      </c>
      <c r="N3" s="16">
        <f t="shared" ref="N3:N27" si="1">ROUND(AVERAGE(E3:I3),1)</f>
        <v>80</v>
      </c>
      <c r="O3" s="18" t="str">
        <f t="shared" ref="O3:O27" si="2">IF(N3&gt;=90,"A+",IF(N3&gt;=80,"A",IF(N3&gt;=70,"B+",IF(N3&gt;=60,"B",IF(N3&gt;=50,"C",IF(N3&gt;=40,"D","F"))))))</f>
        <v>A</v>
      </c>
      <c r="P3" s="18" t="str">
        <f t="shared" ref="P3:P27" si="3">IF(AND(N3&gt;=40,J3&gt;=60),"PASS","FAIL")</f>
        <v>PASS</v>
      </c>
      <c r="Q3" s="18" t="str">
        <f t="shared" ref="Q3:Q27" si="4">IF(N3&gt;=85,"Excellent",IF(N3&gt;=70,"Good",IF(N3&gt;=50,"Average","Poor")))</f>
        <v>Good</v>
      </c>
      <c r="R3" s="18" t="str">
        <f t="shared" ref="R3:R27" si="5">IF(OR(J3&lt;75,N3&lt;50),"⚠ At-Risk","Safe")</f>
        <v>Safe</v>
      </c>
    </row>
    <row r="4" spans="1:18" x14ac:dyDescent="0.3">
      <c r="A4" s="19" t="s">
        <v>23</v>
      </c>
      <c r="B4" s="20" t="s">
        <v>166</v>
      </c>
      <c r="C4" s="19" t="s">
        <v>20</v>
      </c>
      <c r="D4" s="19" t="s">
        <v>24</v>
      </c>
      <c r="E4" s="19">
        <v>92</v>
      </c>
      <c r="F4" s="19">
        <v>95</v>
      </c>
      <c r="G4" s="19">
        <v>90</v>
      </c>
      <c r="H4" s="19">
        <v>88</v>
      </c>
      <c r="I4" s="19">
        <v>94</v>
      </c>
      <c r="J4" s="19">
        <v>96</v>
      </c>
      <c r="K4" s="19">
        <v>9</v>
      </c>
      <c r="L4" s="19" t="s">
        <v>22</v>
      </c>
      <c r="M4" s="19">
        <f t="shared" si="0"/>
        <v>459</v>
      </c>
      <c r="N4" s="19">
        <f t="shared" si="1"/>
        <v>91.8</v>
      </c>
      <c r="O4" s="21" t="str">
        <f t="shared" si="2"/>
        <v>A+</v>
      </c>
      <c r="P4" s="21" t="str">
        <f t="shared" si="3"/>
        <v>PASS</v>
      </c>
      <c r="Q4" s="21" t="str">
        <f t="shared" si="4"/>
        <v>Excellent</v>
      </c>
      <c r="R4" s="21" t="str">
        <f t="shared" si="5"/>
        <v>Safe</v>
      </c>
    </row>
    <row r="5" spans="1:18" x14ac:dyDescent="0.3">
      <c r="A5" s="16" t="s">
        <v>25</v>
      </c>
      <c r="B5" s="17" t="s">
        <v>167</v>
      </c>
      <c r="C5" s="16" t="s">
        <v>26</v>
      </c>
      <c r="D5" s="16" t="s">
        <v>21</v>
      </c>
      <c r="E5" s="16">
        <v>55</v>
      </c>
      <c r="F5" s="16">
        <v>60</v>
      </c>
      <c r="G5" s="16">
        <v>52</v>
      </c>
      <c r="H5" s="16">
        <v>58</v>
      </c>
      <c r="I5" s="16">
        <v>50</v>
      </c>
      <c r="J5" s="16">
        <v>72</v>
      </c>
      <c r="K5" s="16">
        <v>3.5</v>
      </c>
      <c r="L5" s="16" t="s">
        <v>27</v>
      </c>
      <c r="M5" s="16">
        <f t="shared" si="0"/>
        <v>275</v>
      </c>
      <c r="N5" s="16">
        <f t="shared" si="1"/>
        <v>55</v>
      </c>
      <c r="O5" s="18" t="str">
        <f t="shared" si="2"/>
        <v>C</v>
      </c>
      <c r="P5" s="18" t="str">
        <f t="shared" si="3"/>
        <v>PASS</v>
      </c>
      <c r="Q5" s="18" t="str">
        <f t="shared" si="4"/>
        <v>Average</v>
      </c>
      <c r="R5" s="18" t="str">
        <f t="shared" si="5"/>
        <v>⚠ At-Risk</v>
      </c>
    </row>
    <row r="6" spans="1:18" x14ac:dyDescent="0.3">
      <c r="A6" s="19" t="s">
        <v>28</v>
      </c>
      <c r="B6" s="20" t="s">
        <v>168</v>
      </c>
      <c r="C6" s="19" t="s">
        <v>26</v>
      </c>
      <c r="D6" s="19" t="s">
        <v>24</v>
      </c>
      <c r="E6" s="19">
        <v>85</v>
      </c>
      <c r="F6" s="19">
        <v>88</v>
      </c>
      <c r="G6" s="19">
        <v>80</v>
      </c>
      <c r="H6" s="19">
        <v>82</v>
      </c>
      <c r="I6" s="19">
        <v>87</v>
      </c>
      <c r="J6" s="19">
        <v>91</v>
      </c>
      <c r="K6" s="19">
        <v>7.5</v>
      </c>
      <c r="L6" s="19" t="s">
        <v>6</v>
      </c>
      <c r="M6" s="19">
        <f t="shared" si="0"/>
        <v>422</v>
      </c>
      <c r="N6" s="19">
        <f t="shared" si="1"/>
        <v>84.4</v>
      </c>
      <c r="O6" s="21" t="str">
        <f t="shared" si="2"/>
        <v>A</v>
      </c>
      <c r="P6" s="21" t="str">
        <f t="shared" si="3"/>
        <v>PASS</v>
      </c>
      <c r="Q6" s="21" t="str">
        <f t="shared" si="4"/>
        <v>Good</v>
      </c>
      <c r="R6" s="21" t="str">
        <f t="shared" si="5"/>
        <v>Safe</v>
      </c>
    </row>
    <row r="7" spans="1:18" x14ac:dyDescent="0.3">
      <c r="A7" s="16" t="s">
        <v>29</v>
      </c>
      <c r="B7" s="17" t="s">
        <v>169</v>
      </c>
      <c r="C7" s="16" t="s">
        <v>20</v>
      </c>
      <c r="D7" s="16" t="s">
        <v>21</v>
      </c>
      <c r="E7" s="16">
        <v>40</v>
      </c>
      <c r="F7" s="16">
        <v>45</v>
      </c>
      <c r="G7" s="16">
        <v>38</v>
      </c>
      <c r="H7" s="16">
        <v>42</v>
      </c>
      <c r="I7" s="16">
        <v>35</v>
      </c>
      <c r="J7" s="16">
        <v>60</v>
      </c>
      <c r="K7" s="16">
        <v>2</v>
      </c>
      <c r="L7" s="16" t="s">
        <v>30</v>
      </c>
      <c r="M7" s="16">
        <f t="shared" si="0"/>
        <v>200</v>
      </c>
      <c r="N7" s="16">
        <f t="shared" si="1"/>
        <v>40</v>
      </c>
      <c r="O7" s="18" t="str">
        <f t="shared" si="2"/>
        <v>D</v>
      </c>
      <c r="P7" s="18" t="str">
        <f t="shared" si="3"/>
        <v>PASS</v>
      </c>
      <c r="Q7" s="18" t="str">
        <f t="shared" si="4"/>
        <v>Poor</v>
      </c>
      <c r="R7" s="18" t="str">
        <f t="shared" si="5"/>
        <v>⚠ At-Risk</v>
      </c>
    </row>
    <row r="8" spans="1:18" x14ac:dyDescent="0.3">
      <c r="A8" s="19" t="s">
        <v>31</v>
      </c>
      <c r="B8" s="20" t="s">
        <v>170</v>
      </c>
      <c r="C8" s="19" t="s">
        <v>32</v>
      </c>
      <c r="D8" s="19" t="s">
        <v>24</v>
      </c>
      <c r="E8" s="19">
        <v>70</v>
      </c>
      <c r="F8" s="19">
        <v>72</v>
      </c>
      <c r="G8" s="19">
        <v>68</v>
      </c>
      <c r="H8" s="19">
        <v>75</v>
      </c>
      <c r="I8" s="19">
        <v>73</v>
      </c>
      <c r="J8" s="19">
        <v>80</v>
      </c>
      <c r="K8" s="19">
        <v>5</v>
      </c>
      <c r="L8" s="19" t="s">
        <v>6</v>
      </c>
      <c r="M8" s="19">
        <f t="shared" si="0"/>
        <v>358</v>
      </c>
      <c r="N8" s="19">
        <f t="shared" si="1"/>
        <v>71.599999999999994</v>
      </c>
      <c r="O8" s="21" t="str">
        <f t="shared" si="2"/>
        <v>B+</v>
      </c>
      <c r="P8" s="21" t="str">
        <f t="shared" si="3"/>
        <v>PASS</v>
      </c>
      <c r="Q8" s="21" t="str">
        <f t="shared" si="4"/>
        <v>Good</v>
      </c>
      <c r="R8" s="21" t="str">
        <f t="shared" si="5"/>
        <v>Safe</v>
      </c>
    </row>
    <row r="9" spans="1:18" x14ac:dyDescent="0.3">
      <c r="A9" s="16" t="s">
        <v>33</v>
      </c>
      <c r="B9" s="17" t="s">
        <v>171</v>
      </c>
      <c r="C9" s="16" t="s">
        <v>26</v>
      </c>
      <c r="D9" s="16" t="s">
        <v>21</v>
      </c>
      <c r="E9" s="16">
        <v>65</v>
      </c>
      <c r="F9" s="16">
        <v>68</v>
      </c>
      <c r="G9" s="16">
        <v>70</v>
      </c>
      <c r="H9" s="16">
        <v>62</v>
      </c>
      <c r="I9" s="16">
        <v>60</v>
      </c>
      <c r="J9" s="16">
        <v>75</v>
      </c>
      <c r="K9" s="16">
        <v>4.5</v>
      </c>
      <c r="L9" s="16" t="s">
        <v>27</v>
      </c>
      <c r="M9" s="16">
        <f t="shared" si="0"/>
        <v>325</v>
      </c>
      <c r="N9" s="16">
        <f t="shared" si="1"/>
        <v>65</v>
      </c>
      <c r="O9" s="18" t="str">
        <f t="shared" si="2"/>
        <v>B</v>
      </c>
      <c r="P9" s="18" t="str">
        <f t="shared" si="3"/>
        <v>PASS</v>
      </c>
      <c r="Q9" s="18" t="str">
        <f t="shared" si="4"/>
        <v>Average</v>
      </c>
      <c r="R9" s="18" t="str">
        <f t="shared" si="5"/>
        <v>Safe</v>
      </c>
    </row>
    <row r="10" spans="1:18" x14ac:dyDescent="0.3">
      <c r="A10" s="19" t="s">
        <v>34</v>
      </c>
      <c r="B10" s="20" t="s">
        <v>172</v>
      </c>
      <c r="C10" s="19" t="s">
        <v>20</v>
      </c>
      <c r="D10" s="19" t="s">
        <v>24</v>
      </c>
      <c r="E10" s="19">
        <v>95</v>
      </c>
      <c r="F10" s="19">
        <v>98</v>
      </c>
      <c r="G10" s="19">
        <v>92</v>
      </c>
      <c r="H10" s="19">
        <v>96</v>
      </c>
      <c r="I10" s="19">
        <v>97</v>
      </c>
      <c r="J10" s="19">
        <v>98</v>
      </c>
      <c r="K10" s="19">
        <v>9.5</v>
      </c>
      <c r="L10" s="19" t="s">
        <v>22</v>
      </c>
      <c r="M10" s="19">
        <f t="shared" si="0"/>
        <v>478</v>
      </c>
      <c r="N10" s="19">
        <f t="shared" si="1"/>
        <v>95.6</v>
      </c>
      <c r="O10" s="21" t="str">
        <f t="shared" si="2"/>
        <v>A+</v>
      </c>
      <c r="P10" s="21" t="str">
        <f t="shared" si="3"/>
        <v>PASS</v>
      </c>
      <c r="Q10" s="21" t="str">
        <f t="shared" si="4"/>
        <v>Excellent</v>
      </c>
      <c r="R10" s="21" t="str">
        <f t="shared" si="5"/>
        <v>Safe</v>
      </c>
    </row>
    <row r="11" spans="1:18" x14ac:dyDescent="0.3">
      <c r="A11" s="16" t="s">
        <v>35</v>
      </c>
      <c r="B11" s="17" t="s">
        <v>173</v>
      </c>
      <c r="C11" s="16" t="s">
        <v>32</v>
      </c>
      <c r="D11" s="16" t="s">
        <v>21</v>
      </c>
      <c r="E11" s="16">
        <v>30</v>
      </c>
      <c r="F11" s="16">
        <v>35</v>
      </c>
      <c r="G11" s="16">
        <v>28</v>
      </c>
      <c r="H11" s="16">
        <v>32</v>
      </c>
      <c r="I11" s="16">
        <v>25</v>
      </c>
      <c r="J11" s="16">
        <v>55</v>
      </c>
      <c r="K11" s="16">
        <v>1.5</v>
      </c>
      <c r="L11" s="16" t="s">
        <v>30</v>
      </c>
      <c r="M11" s="16">
        <f t="shared" si="0"/>
        <v>150</v>
      </c>
      <c r="N11" s="16">
        <f t="shared" si="1"/>
        <v>30</v>
      </c>
      <c r="O11" s="18" t="str">
        <f t="shared" si="2"/>
        <v>F</v>
      </c>
      <c r="P11" s="18" t="str">
        <f t="shared" si="3"/>
        <v>FAIL</v>
      </c>
      <c r="Q11" s="18" t="str">
        <f t="shared" si="4"/>
        <v>Poor</v>
      </c>
      <c r="R11" s="18" t="str">
        <f t="shared" si="5"/>
        <v>⚠ At-Risk</v>
      </c>
    </row>
    <row r="12" spans="1:18" x14ac:dyDescent="0.3">
      <c r="A12" s="19" t="s">
        <v>36</v>
      </c>
      <c r="B12" s="20" t="s">
        <v>174</v>
      </c>
      <c r="C12" s="19" t="s">
        <v>26</v>
      </c>
      <c r="D12" s="19" t="s">
        <v>24</v>
      </c>
      <c r="E12" s="19">
        <v>80</v>
      </c>
      <c r="F12" s="19">
        <v>78</v>
      </c>
      <c r="G12" s="19">
        <v>82</v>
      </c>
      <c r="H12" s="19">
        <v>76</v>
      </c>
      <c r="I12" s="19">
        <v>79</v>
      </c>
      <c r="J12" s="19">
        <v>85</v>
      </c>
      <c r="K12" s="19">
        <v>6</v>
      </c>
      <c r="L12" s="19" t="s">
        <v>6</v>
      </c>
      <c r="M12" s="19">
        <f t="shared" si="0"/>
        <v>395</v>
      </c>
      <c r="N12" s="19">
        <f t="shared" si="1"/>
        <v>79</v>
      </c>
      <c r="O12" s="21" t="str">
        <f t="shared" si="2"/>
        <v>B+</v>
      </c>
      <c r="P12" s="21" t="str">
        <f t="shared" si="3"/>
        <v>PASS</v>
      </c>
      <c r="Q12" s="21" t="str">
        <f t="shared" si="4"/>
        <v>Good</v>
      </c>
      <c r="R12" s="21" t="str">
        <f t="shared" si="5"/>
        <v>Safe</v>
      </c>
    </row>
    <row r="13" spans="1:18" x14ac:dyDescent="0.3">
      <c r="A13" s="16" t="s">
        <v>37</v>
      </c>
      <c r="B13" s="17" t="s">
        <v>175</v>
      </c>
      <c r="C13" s="16" t="s">
        <v>20</v>
      </c>
      <c r="D13" s="16" t="s">
        <v>21</v>
      </c>
      <c r="E13" s="16">
        <v>88</v>
      </c>
      <c r="F13" s="16">
        <v>85</v>
      </c>
      <c r="G13" s="16">
        <v>90</v>
      </c>
      <c r="H13" s="16">
        <v>87</v>
      </c>
      <c r="I13" s="16">
        <v>92</v>
      </c>
      <c r="J13" s="16">
        <v>94</v>
      </c>
      <c r="K13" s="16">
        <v>8</v>
      </c>
      <c r="L13" s="16" t="s">
        <v>22</v>
      </c>
      <c r="M13" s="16">
        <f t="shared" si="0"/>
        <v>442</v>
      </c>
      <c r="N13" s="16">
        <f t="shared" si="1"/>
        <v>88.4</v>
      </c>
      <c r="O13" s="18" t="str">
        <f t="shared" si="2"/>
        <v>A</v>
      </c>
      <c r="P13" s="18" t="str">
        <f t="shared" si="3"/>
        <v>PASS</v>
      </c>
      <c r="Q13" s="18" t="str">
        <f t="shared" si="4"/>
        <v>Excellent</v>
      </c>
      <c r="R13" s="18" t="str">
        <f t="shared" si="5"/>
        <v>Safe</v>
      </c>
    </row>
    <row r="14" spans="1:18" x14ac:dyDescent="0.3">
      <c r="A14" s="19" t="s">
        <v>38</v>
      </c>
      <c r="B14" s="20" t="s">
        <v>176</v>
      </c>
      <c r="C14" s="19" t="s">
        <v>32</v>
      </c>
      <c r="D14" s="19" t="s">
        <v>24</v>
      </c>
      <c r="E14" s="19">
        <v>60</v>
      </c>
      <c r="F14" s="19">
        <v>65</v>
      </c>
      <c r="G14" s="19">
        <v>58</v>
      </c>
      <c r="H14" s="19">
        <v>62</v>
      </c>
      <c r="I14" s="19">
        <v>55</v>
      </c>
      <c r="J14" s="19">
        <v>68</v>
      </c>
      <c r="K14" s="19">
        <v>4</v>
      </c>
      <c r="L14" s="19" t="s">
        <v>27</v>
      </c>
      <c r="M14" s="19">
        <f t="shared" si="0"/>
        <v>300</v>
      </c>
      <c r="N14" s="19">
        <f t="shared" si="1"/>
        <v>60</v>
      </c>
      <c r="O14" s="21" t="str">
        <f t="shared" si="2"/>
        <v>B</v>
      </c>
      <c r="P14" s="21" t="str">
        <f t="shared" si="3"/>
        <v>PASS</v>
      </c>
      <c r="Q14" s="21" t="str">
        <f t="shared" si="4"/>
        <v>Average</v>
      </c>
      <c r="R14" s="21" t="str">
        <f t="shared" si="5"/>
        <v>⚠ At-Risk</v>
      </c>
    </row>
    <row r="15" spans="1:18" x14ac:dyDescent="0.3">
      <c r="A15" s="16" t="s">
        <v>39</v>
      </c>
      <c r="B15" s="17" t="s">
        <v>177</v>
      </c>
      <c r="C15" s="16" t="s">
        <v>26</v>
      </c>
      <c r="D15" s="16" t="s">
        <v>21</v>
      </c>
      <c r="E15" s="16">
        <v>72</v>
      </c>
      <c r="F15" s="16">
        <v>70</v>
      </c>
      <c r="G15" s="16">
        <v>75</v>
      </c>
      <c r="H15" s="16">
        <v>68</v>
      </c>
      <c r="I15" s="16">
        <v>74</v>
      </c>
      <c r="J15" s="16">
        <v>78</v>
      </c>
      <c r="K15" s="16">
        <v>5.5</v>
      </c>
      <c r="L15" s="16" t="s">
        <v>6</v>
      </c>
      <c r="M15" s="16">
        <f t="shared" si="0"/>
        <v>359</v>
      </c>
      <c r="N15" s="16">
        <f t="shared" si="1"/>
        <v>71.8</v>
      </c>
      <c r="O15" s="18" t="str">
        <f t="shared" si="2"/>
        <v>B+</v>
      </c>
      <c r="P15" s="18" t="str">
        <f t="shared" si="3"/>
        <v>PASS</v>
      </c>
      <c r="Q15" s="18" t="str">
        <f t="shared" si="4"/>
        <v>Good</v>
      </c>
      <c r="R15" s="18" t="str">
        <f t="shared" si="5"/>
        <v>Safe</v>
      </c>
    </row>
    <row r="16" spans="1:18" x14ac:dyDescent="0.3">
      <c r="A16" s="19" t="s">
        <v>40</v>
      </c>
      <c r="B16" s="20" t="s">
        <v>178</v>
      </c>
      <c r="C16" s="19" t="s">
        <v>20</v>
      </c>
      <c r="D16" s="19" t="s">
        <v>24</v>
      </c>
      <c r="E16" s="19">
        <v>90</v>
      </c>
      <c r="F16" s="19">
        <v>92</v>
      </c>
      <c r="G16" s="19">
        <v>88</v>
      </c>
      <c r="H16" s="19">
        <v>94</v>
      </c>
      <c r="I16" s="19">
        <v>91</v>
      </c>
      <c r="J16" s="19">
        <v>95</v>
      </c>
      <c r="K16" s="19">
        <v>8.5</v>
      </c>
      <c r="L16" s="19" t="s">
        <v>22</v>
      </c>
      <c r="M16" s="19">
        <f t="shared" si="0"/>
        <v>455</v>
      </c>
      <c r="N16" s="19">
        <f t="shared" si="1"/>
        <v>91</v>
      </c>
      <c r="O16" s="21" t="str">
        <f t="shared" si="2"/>
        <v>A+</v>
      </c>
      <c r="P16" s="21" t="str">
        <f t="shared" si="3"/>
        <v>PASS</v>
      </c>
      <c r="Q16" s="21" t="str">
        <f t="shared" si="4"/>
        <v>Excellent</v>
      </c>
      <c r="R16" s="21" t="str">
        <f t="shared" si="5"/>
        <v>Safe</v>
      </c>
    </row>
    <row r="17" spans="1:18" x14ac:dyDescent="0.3">
      <c r="A17" s="16" t="s">
        <v>41</v>
      </c>
      <c r="B17" s="17" t="s">
        <v>179</v>
      </c>
      <c r="C17" s="16" t="s">
        <v>32</v>
      </c>
      <c r="D17" s="16" t="s">
        <v>21</v>
      </c>
      <c r="E17" s="16">
        <v>48</v>
      </c>
      <c r="F17" s="16">
        <v>50</v>
      </c>
      <c r="G17" s="16">
        <v>45</v>
      </c>
      <c r="H17" s="16">
        <v>52</v>
      </c>
      <c r="I17" s="16">
        <v>44</v>
      </c>
      <c r="J17" s="16">
        <v>62</v>
      </c>
      <c r="K17" s="16">
        <v>2.5</v>
      </c>
      <c r="L17" s="16" t="s">
        <v>27</v>
      </c>
      <c r="M17" s="16">
        <f t="shared" si="0"/>
        <v>239</v>
      </c>
      <c r="N17" s="16">
        <f t="shared" si="1"/>
        <v>47.8</v>
      </c>
      <c r="O17" s="18" t="str">
        <f t="shared" si="2"/>
        <v>D</v>
      </c>
      <c r="P17" s="18" t="str">
        <f t="shared" si="3"/>
        <v>PASS</v>
      </c>
      <c r="Q17" s="18" t="str">
        <f t="shared" si="4"/>
        <v>Poor</v>
      </c>
      <c r="R17" s="18" t="str">
        <f t="shared" si="5"/>
        <v>⚠ At-Risk</v>
      </c>
    </row>
    <row r="18" spans="1:18" x14ac:dyDescent="0.3">
      <c r="A18" s="19" t="s">
        <v>42</v>
      </c>
      <c r="B18" s="20" t="s">
        <v>180</v>
      </c>
      <c r="C18" s="19" t="s">
        <v>26</v>
      </c>
      <c r="D18" s="19" t="s">
        <v>24</v>
      </c>
      <c r="E18" s="19">
        <v>75</v>
      </c>
      <c r="F18" s="19">
        <v>78</v>
      </c>
      <c r="G18" s="19">
        <v>72</v>
      </c>
      <c r="H18" s="19">
        <v>80</v>
      </c>
      <c r="I18" s="19">
        <v>76</v>
      </c>
      <c r="J18" s="19">
        <v>82</v>
      </c>
      <c r="K18" s="19">
        <v>6</v>
      </c>
      <c r="L18" s="19" t="s">
        <v>30</v>
      </c>
      <c r="M18" s="19">
        <f t="shared" si="0"/>
        <v>381</v>
      </c>
      <c r="N18" s="19">
        <f t="shared" si="1"/>
        <v>76.2</v>
      </c>
      <c r="O18" s="21" t="str">
        <f t="shared" si="2"/>
        <v>B+</v>
      </c>
      <c r="P18" s="21" t="str">
        <f t="shared" si="3"/>
        <v>PASS</v>
      </c>
      <c r="Q18" s="21" t="str">
        <f t="shared" si="4"/>
        <v>Good</v>
      </c>
      <c r="R18" s="21" t="str">
        <f t="shared" si="5"/>
        <v>Safe</v>
      </c>
    </row>
    <row r="19" spans="1:18" x14ac:dyDescent="0.3">
      <c r="A19" s="16" t="s">
        <v>43</v>
      </c>
      <c r="B19" s="17" t="s">
        <v>181</v>
      </c>
      <c r="C19" s="16" t="s">
        <v>20</v>
      </c>
      <c r="D19" s="16" t="s">
        <v>21</v>
      </c>
      <c r="E19" s="16">
        <v>83</v>
      </c>
      <c r="F19" s="16">
        <v>80</v>
      </c>
      <c r="G19" s="16">
        <v>85</v>
      </c>
      <c r="H19" s="16">
        <v>78</v>
      </c>
      <c r="I19" s="16">
        <v>82</v>
      </c>
      <c r="J19" s="16">
        <v>89</v>
      </c>
      <c r="K19" s="16">
        <v>7</v>
      </c>
      <c r="L19" s="16" t="s">
        <v>6</v>
      </c>
      <c r="M19" s="16">
        <f t="shared" si="0"/>
        <v>408</v>
      </c>
      <c r="N19" s="16">
        <f t="shared" si="1"/>
        <v>81.599999999999994</v>
      </c>
      <c r="O19" s="18" t="str">
        <f t="shared" si="2"/>
        <v>A</v>
      </c>
      <c r="P19" s="18" t="str">
        <f t="shared" si="3"/>
        <v>PASS</v>
      </c>
      <c r="Q19" s="18" t="str">
        <f t="shared" si="4"/>
        <v>Good</v>
      </c>
      <c r="R19" s="18" t="str">
        <f t="shared" si="5"/>
        <v>Safe</v>
      </c>
    </row>
    <row r="20" spans="1:18" x14ac:dyDescent="0.3">
      <c r="A20" s="19" t="s">
        <v>44</v>
      </c>
      <c r="B20" s="20" t="s">
        <v>182</v>
      </c>
      <c r="C20" s="19" t="s">
        <v>32</v>
      </c>
      <c r="D20" s="19" t="s">
        <v>24</v>
      </c>
      <c r="E20" s="19">
        <v>55</v>
      </c>
      <c r="F20" s="19">
        <v>52</v>
      </c>
      <c r="G20" s="19">
        <v>58</v>
      </c>
      <c r="H20" s="19">
        <v>50</v>
      </c>
      <c r="I20" s="19">
        <v>48</v>
      </c>
      <c r="J20" s="19">
        <v>65</v>
      </c>
      <c r="K20" s="19">
        <v>3</v>
      </c>
      <c r="L20" s="19" t="s">
        <v>27</v>
      </c>
      <c r="M20" s="19">
        <f t="shared" si="0"/>
        <v>263</v>
      </c>
      <c r="N20" s="19">
        <f t="shared" si="1"/>
        <v>52.6</v>
      </c>
      <c r="O20" s="21" t="str">
        <f t="shared" si="2"/>
        <v>C</v>
      </c>
      <c r="P20" s="21" t="str">
        <f t="shared" si="3"/>
        <v>PASS</v>
      </c>
      <c r="Q20" s="21" t="str">
        <f t="shared" si="4"/>
        <v>Average</v>
      </c>
      <c r="R20" s="21" t="str">
        <f t="shared" si="5"/>
        <v>⚠ At-Risk</v>
      </c>
    </row>
    <row r="21" spans="1:18" x14ac:dyDescent="0.3">
      <c r="A21" s="16" t="s">
        <v>45</v>
      </c>
      <c r="B21" s="17" t="s">
        <v>183</v>
      </c>
      <c r="C21" s="16" t="s">
        <v>26</v>
      </c>
      <c r="D21" s="16" t="s">
        <v>21</v>
      </c>
      <c r="E21" s="16">
        <v>68</v>
      </c>
      <c r="F21" s="16">
        <v>72</v>
      </c>
      <c r="G21" s="16">
        <v>65</v>
      </c>
      <c r="H21" s="16">
        <v>70</v>
      </c>
      <c r="I21" s="16">
        <v>73</v>
      </c>
      <c r="J21" s="16">
        <v>76</v>
      </c>
      <c r="K21" s="16">
        <v>5</v>
      </c>
      <c r="L21" s="16" t="s">
        <v>22</v>
      </c>
      <c r="M21" s="16">
        <f t="shared" si="0"/>
        <v>348</v>
      </c>
      <c r="N21" s="16">
        <f t="shared" si="1"/>
        <v>69.599999999999994</v>
      </c>
      <c r="O21" s="18" t="str">
        <f t="shared" si="2"/>
        <v>B</v>
      </c>
      <c r="P21" s="18" t="str">
        <f t="shared" si="3"/>
        <v>PASS</v>
      </c>
      <c r="Q21" s="18" t="str">
        <f t="shared" si="4"/>
        <v>Average</v>
      </c>
      <c r="R21" s="18" t="str">
        <f t="shared" si="5"/>
        <v>Safe</v>
      </c>
    </row>
    <row r="22" spans="1:18" x14ac:dyDescent="0.3">
      <c r="A22" s="19" t="s">
        <v>46</v>
      </c>
      <c r="B22" s="20" t="s">
        <v>184</v>
      </c>
      <c r="C22" s="19" t="s">
        <v>20</v>
      </c>
      <c r="D22" s="19" t="s">
        <v>24</v>
      </c>
      <c r="E22" s="19">
        <v>97</v>
      </c>
      <c r="F22" s="19">
        <v>99</v>
      </c>
      <c r="G22" s="19">
        <v>95</v>
      </c>
      <c r="H22" s="19">
        <v>98</v>
      </c>
      <c r="I22" s="19">
        <v>96</v>
      </c>
      <c r="J22" s="19">
        <v>99</v>
      </c>
      <c r="K22" s="19">
        <v>9.8000000000000007</v>
      </c>
      <c r="L22" s="19" t="s">
        <v>6</v>
      </c>
      <c r="M22" s="19">
        <f t="shared" si="0"/>
        <v>485</v>
      </c>
      <c r="N22" s="19">
        <f t="shared" si="1"/>
        <v>97</v>
      </c>
      <c r="O22" s="21" t="str">
        <f t="shared" si="2"/>
        <v>A+</v>
      </c>
      <c r="P22" s="21" t="str">
        <f t="shared" si="3"/>
        <v>PASS</v>
      </c>
      <c r="Q22" s="21" t="str">
        <f t="shared" si="4"/>
        <v>Excellent</v>
      </c>
      <c r="R22" s="21" t="str">
        <f t="shared" si="5"/>
        <v>Safe</v>
      </c>
    </row>
    <row r="23" spans="1:18" x14ac:dyDescent="0.3">
      <c r="A23" s="16" t="s">
        <v>47</v>
      </c>
      <c r="B23" s="17" t="s">
        <v>185</v>
      </c>
      <c r="C23" s="16" t="s">
        <v>32</v>
      </c>
      <c r="D23" s="16" t="s">
        <v>21</v>
      </c>
      <c r="E23" s="16">
        <v>42</v>
      </c>
      <c r="F23" s="16">
        <v>40</v>
      </c>
      <c r="G23" s="16">
        <v>45</v>
      </c>
      <c r="H23" s="16">
        <v>38</v>
      </c>
      <c r="I23" s="16">
        <v>44</v>
      </c>
      <c r="J23" s="16">
        <v>58</v>
      </c>
      <c r="K23" s="16">
        <v>2</v>
      </c>
      <c r="L23" s="16" t="s">
        <v>30</v>
      </c>
      <c r="M23" s="16">
        <f t="shared" si="0"/>
        <v>209</v>
      </c>
      <c r="N23" s="16">
        <f t="shared" si="1"/>
        <v>41.8</v>
      </c>
      <c r="O23" s="18" t="str">
        <f t="shared" si="2"/>
        <v>D</v>
      </c>
      <c r="P23" s="18" t="str">
        <f t="shared" si="3"/>
        <v>FAIL</v>
      </c>
      <c r="Q23" s="18" t="str">
        <f t="shared" si="4"/>
        <v>Poor</v>
      </c>
      <c r="R23" s="18" t="str">
        <f t="shared" si="5"/>
        <v>⚠ At-Risk</v>
      </c>
    </row>
    <row r="24" spans="1:18" x14ac:dyDescent="0.3">
      <c r="A24" s="19" t="s">
        <v>48</v>
      </c>
      <c r="B24" s="20" t="s">
        <v>186</v>
      </c>
      <c r="C24" s="19" t="s">
        <v>26</v>
      </c>
      <c r="D24" s="19" t="s">
        <v>24</v>
      </c>
      <c r="E24" s="19">
        <v>78</v>
      </c>
      <c r="F24" s="19">
        <v>80</v>
      </c>
      <c r="G24" s="19">
        <v>76</v>
      </c>
      <c r="H24" s="19">
        <v>82</v>
      </c>
      <c r="I24" s="19">
        <v>79</v>
      </c>
      <c r="J24" s="19">
        <v>87</v>
      </c>
      <c r="K24" s="19">
        <v>6.5</v>
      </c>
      <c r="L24" s="19" t="s">
        <v>22</v>
      </c>
      <c r="M24" s="19">
        <f t="shared" si="0"/>
        <v>395</v>
      </c>
      <c r="N24" s="19">
        <f t="shared" si="1"/>
        <v>79</v>
      </c>
      <c r="O24" s="21" t="str">
        <f t="shared" si="2"/>
        <v>B+</v>
      </c>
      <c r="P24" s="21" t="str">
        <f t="shared" si="3"/>
        <v>PASS</v>
      </c>
      <c r="Q24" s="21" t="str">
        <f t="shared" si="4"/>
        <v>Good</v>
      </c>
      <c r="R24" s="21" t="str">
        <f t="shared" si="5"/>
        <v>Safe</v>
      </c>
    </row>
    <row r="25" spans="1:18" x14ac:dyDescent="0.3">
      <c r="A25" s="16" t="s">
        <v>49</v>
      </c>
      <c r="B25" s="17" t="s">
        <v>187</v>
      </c>
      <c r="C25" s="16" t="s">
        <v>20</v>
      </c>
      <c r="D25" s="16" t="s">
        <v>21</v>
      </c>
      <c r="E25" s="16">
        <v>62</v>
      </c>
      <c r="F25" s="16">
        <v>65</v>
      </c>
      <c r="G25" s="16">
        <v>60</v>
      </c>
      <c r="H25" s="16">
        <v>68</v>
      </c>
      <c r="I25" s="16">
        <v>63</v>
      </c>
      <c r="J25" s="16">
        <v>70</v>
      </c>
      <c r="K25" s="16">
        <v>4.5</v>
      </c>
      <c r="L25" s="16" t="s">
        <v>27</v>
      </c>
      <c r="M25" s="16">
        <f t="shared" si="0"/>
        <v>318</v>
      </c>
      <c r="N25" s="16">
        <f t="shared" si="1"/>
        <v>63.6</v>
      </c>
      <c r="O25" s="18" t="str">
        <f t="shared" si="2"/>
        <v>B</v>
      </c>
      <c r="P25" s="18" t="str">
        <f t="shared" si="3"/>
        <v>PASS</v>
      </c>
      <c r="Q25" s="18" t="str">
        <f t="shared" si="4"/>
        <v>Average</v>
      </c>
      <c r="R25" s="18" t="str">
        <f t="shared" si="5"/>
        <v>⚠ At-Risk</v>
      </c>
    </row>
    <row r="26" spans="1:18" x14ac:dyDescent="0.3">
      <c r="A26" s="19" t="s">
        <v>50</v>
      </c>
      <c r="B26" s="20" t="s">
        <v>188</v>
      </c>
      <c r="C26" s="19" t="s">
        <v>32</v>
      </c>
      <c r="D26" s="19" t="s">
        <v>24</v>
      </c>
      <c r="E26" s="19">
        <v>88</v>
      </c>
      <c r="F26" s="19">
        <v>90</v>
      </c>
      <c r="G26" s="19">
        <v>85</v>
      </c>
      <c r="H26" s="19">
        <v>92</v>
      </c>
      <c r="I26" s="19">
        <v>89</v>
      </c>
      <c r="J26" s="19">
        <v>93</v>
      </c>
      <c r="K26" s="19">
        <v>7.5</v>
      </c>
      <c r="L26" s="19" t="s">
        <v>6</v>
      </c>
      <c r="M26" s="19">
        <f t="shared" si="0"/>
        <v>444</v>
      </c>
      <c r="N26" s="19">
        <f t="shared" si="1"/>
        <v>88.8</v>
      </c>
      <c r="O26" s="21" t="str">
        <f t="shared" si="2"/>
        <v>A</v>
      </c>
      <c r="P26" s="21" t="str">
        <f t="shared" si="3"/>
        <v>PASS</v>
      </c>
      <c r="Q26" s="21" t="str">
        <f t="shared" si="4"/>
        <v>Excellent</v>
      </c>
      <c r="R26" s="21" t="str">
        <f t="shared" si="5"/>
        <v>Safe</v>
      </c>
    </row>
    <row r="27" spans="1:18" x14ac:dyDescent="0.3">
      <c r="A27" s="16" t="s">
        <v>51</v>
      </c>
      <c r="B27" s="17" t="s">
        <v>189</v>
      </c>
      <c r="C27" s="16" t="s">
        <v>26</v>
      </c>
      <c r="D27" s="16" t="s">
        <v>21</v>
      </c>
      <c r="E27" s="16">
        <v>50</v>
      </c>
      <c r="F27" s="16">
        <v>48</v>
      </c>
      <c r="G27" s="16">
        <v>55</v>
      </c>
      <c r="H27" s="16">
        <v>46</v>
      </c>
      <c r="I27" s="16">
        <v>52</v>
      </c>
      <c r="J27" s="16">
        <v>64</v>
      </c>
      <c r="K27" s="16">
        <v>3</v>
      </c>
      <c r="L27" s="16" t="s">
        <v>30</v>
      </c>
      <c r="M27" s="16">
        <f t="shared" si="0"/>
        <v>251</v>
      </c>
      <c r="N27" s="16">
        <f t="shared" si="1"/>
        <v>50.2</v>
      </c>
      <c r="O27" s="18" t="str">
        <f t="shared" si="2"/>
        <v>C</v>
      </c>
      <c r="P27" s="18" t="str">
        <f t="shared" si="3"/>
        <v>PASS</v>
      </c>
      <c r="Q27" s="18" t="str">
        <f t="shared" si="4"/>
        <v>Average</v>
      </c>
      <c r="R27" s="18" t="str">
        <f t="shared" si="5"/>
        <v>⚠ At-Risk</v>
      </c>
    </row>
  </sheetData>
  <mergeCells count="1">
    <mergeCell ref="A1:R1"/>
  </mergeCells>
  <conditionalFormatting sqref="N3:N27">
    <cfRule type="colorScale" priority="7">
      <colorScale>
        <cfvo type="min"/>
        <cfvo type="percentile" val="50"/>
        <cfvo type="max"/>
        <color rgb="FFE74C3C"/>
        <color rgb="FFF4D03F"/>
        <color rgb="FF27AE60"/>
      </colorScale>
    </cfRule>
  </conditionalFormatting>
  <conditionalFormatting sqref="P3:P27">
    <cfRule type="cellIs" dxfId="4" priority="2" operator="equal">
      <formula>"PASS"</formula>
    </cfRule>
    <cfRule type="cellIs" dxfId="3" priority="3" operator="equal">
      <formula>"FAIL"</formula>
    </cfRule>
  </conditionalFormatting>
  <conditionalFormatting sqref="Q3:Q27">
    <cfRule type="cellIs" dxfId="2" priority="5" operator="equal">
      <formula>"Excellent"</formula>
    </cfRule>
    <cfRule type="cellIs" dxfId="1" priority="6" operator="equal">
      <formula>"Poor"</formula>
    </cfRule>
  </conditionalFormatting>
  <conditionalFormatting sqref="R3:R27">
    <cfRule type="cellIs" dxfId="0" priority="4" operator="equal">
      <formula>"⚠ At-Risk"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16" customWidth="1"/>
    <col min="5" max="8" width="16" customWidth="1"/>
  </cols>
  <sheetData>
    <row r="1" spans="1:12" ht="30" customHeight="1" x14ac:dyDescent="0.3">
      <c r="A1" s="14" t="s">
        <v>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ht="19.5" customHeight="1" x14ac:dyDescent="0.3">
      <c r="A3" s="13" t="s">
        <v>53</v>
      </c>
      <c r="B3" s="13"/>
      <c r="C3" s="13"/>
      <c r="E3" s="12" t="s">
        <v>54</v>
      </c>
      <c r="F3" s="12"/>
      <c r="G3" s="12"/>
    </row>
    <row r="4" spans="1:12" x14ac:dyDescent="0.3">
      <c r="A4" s="22" t="s">
        <v>55</v>
      </c>
      <c r="B4" s="23">
        <f>COUNTA('Raw Data'!A3:A27)</f>
        <v>25</v>
      </c>
      <c r="E4" s="24" t="s">
        <v>56</v>
      </c>
      <c r="F4" s="24" t="s">
        <v>57</v>
      </c>
      <c r="G4" s="24" t="s">
        <v>58</v>
      </c>
      <c r="H4" s="24" t="s">
        <v>59</v>
      </c>
    </row>
    <row r="5" spans="1:12" x14ac:dyDescent="0.3">
      <c r="A5" s="22" t="s">
        <v>14</v>
      </c>
      <c r="B5" s="23">
        <f>ROUND(AVERAGE('Raw Data'!N3:N27),2)</f>
        <v>70.069999999999993</v>
      </c>
      <c r="E5" s="17" t="s">
        <v>5</v>
      </c>
      <c r="F5" s="16">
        <f>ROUND(AVERAGE('Raw Data'!E3:E27),1)</f>
        <v>69.8</v>
      </c>
      <c r="G5" s="16">
        <f>MAX('Raw Data'!E3:E27)</f>
        <v>97</v>
      </c>
      <c r="H5" s="16">
        <f>MIN('Raw Data'!E3:E27)</f>
        <v>30</v>
      </c>
    </row>
    <row r="6" spans="1:12" x14ac:dyDescent="0.3">
      <c r="A6" s="22" t="s">
        <v>60</v>
      </c>
      <c r="B6" s="23">
        <f>MAX('Raw Data'!N3:N27)</f>
        <v>97</v>
      </c>
      <c r="E6" s="20" t="s">
        <v>6</v>
      </c>
      <c r="F6" s="19">
        <f>ROUND(AVERAGE('Raw Data'!F3:F27),1)</f>
        <v>71.5</v>
      </c>
      <c r="G6" s="19">
        <f>MAX('Raw Data'!F3:F27)</f>
        <v>99</v>
      </c>
      <c r="H6" s="19">
        <f>MIN('Raw Data'!F3:F27)</f>
        <v>35</v>
      </c>
    </row>
    <row r="7" spans="1:12" x14ac:dyDescent="0.3">
      <c r="A7" s="22" t="s">
        <v>61</v>
      </c>
      <c r="B7" s="23">
        <f>MIN('Raw Data'!N3:N27)</f>
        <v>30</v>
      </c>
      <c r="E7" s="17" t="s">
        <v>7</v>
      </c>
      <c r="F7" s="16">
        <f>ROUND(AVERAGE('Raw Data'!G3:G27),1)</f>
        <v>69.099999999999994</v>
      </c>
      <c r="G7" s="16">
        <f>MAX('Raw Data'!G3:G27)</f>
        <v>95</v>
      </c>
      <c r="H7" s="16">
        <f>MIN('Raw Data'!G3:G27)</f>
        <v>28</v>
      </c>
    </row>
    <row r="8" spans="1:12" x14ac:dyDescent="0.3">
      <c r="A8" s="22" t="s">
        <v>62</v>
      </c>
      <c r="B8" s="23">
        <f>COUNTIF('Raw Data'!P3:P27,"PASS")</f>
        <v>23</v>
      </c>
      <c r="E8" s="20" t="s">
        <v>8</v>
      </c>
      <c r="F8" s="19">
        <f>ROUND(AVERAGE('Raw Data'!H3:H27),1)</f>
        <v>70.2</v>
      </c>
      <c r="G8" s="19">
        <f>MAX('Raw Data'!H3:H27)</f>
        <v>98</v>
      </c>
      <c r="H8" s="19">
        <f>MIN('Raw Data'!H3:H27)</f>
        <v>32</v>
      </c>
    </row>
    <row r="9" spans="1:12" x14ac:dyDescent="0.3">
      <c r="A9" s="22" t="s">
        <v>63</v>
      </c>
      <c r="B9" s="23">
        <f>COUNTIF('Raw Data'!P3:P27,"FAIL")</f>
        <v>2</v>
      </c>
      <c r="E9" s="17" t="s">
        <v>9</v>
      </c>
      <c r="F9" s="16">
        <f>ROUND(AVERAGE('Raw Data'!I3:I27),1)</f>
        <v>69.7</v>
      </c>
      <c r="G9" s="16">
        <f>MAX('Raw Data'!I3:I27)</f>
        <v>97</v>
      </c>
      <c r="H9" s="16">
        <f>MIN('Raw Data'!I3:I27)</f>
        <v>25</v>
      </c>
    </row>
    <row r="10" spans="1:12" x14ac:dyDescent="0.3">
      <c r="A10" s="22" t="s">
        <v>64</v>
      </c>
      <c r="B10" s="23" t="str">
        <f>ROUND(COUNTIF('Raw Data'!P3:P27,"PASS")/COUNTA('Raw Data'!P3:P27)*100,1)&amp;"%"</f>
        <v>92%</v>
      </c>
    </row>
    <row r="11" spans="1:12" x14ac:dyDescent="0.3">
      <c r="A11" s="22" t="s">
        <v>65</v>
      </c>
      <c r="B11" s="23">
        <f>COUNTIF('Raw Data'!R3:R27,"⚠ At-Risk")</f>
        <v>9</v>
      </c>
    </row>
    <row r="12" spans="1:12" x14ac:dyDescent="0.3">
      <c r="A12" s="22" t="s">
        <v>66</v>
      </c>
      <c r="B12" s="23">
        <f>COUNTIF('Raw Data'!Q3:Q27,"Excellent")</f>
        <v>6</v>
      </c>
    </row>
    <row r="13" spans="1:12" x14ac:dyDescent="0.3">
      <c r="A13" s="22" t="s">
        <v>67</v>
      </c>
      <c r="B13" s="23">
        <f>COUNTIF('Raw Data'!Q3:Q27,"Poor")</f>
        <v>4</v>
      </c>
    </row>
    <row r="14" spans="1:12" x14ac:dyDescent="0.3">
      <c r="A14" s="22" t="s">
        <v>68</v>
      </c>
      <c r="B14" s="23">
        <f>ROUND(AVERAGE('Raw Data'!K3:K27),1)</f>
        <v>5.5</v>
      </c>
    </row>
    <row r="15" spans="1:12" x14ac:dyDescent="0.3">
      <c r="A15" s="22" t="s">
        <v>69</v>
      </c>
      <c r="B15" s="23">
        <f>ROUND(AVERAGE('Raw Data'!J3:J27),1)</f>
        <v>79.2</v>
      </c>
    </row>
    <row r="17" spans="1:8" ht="19.5" customHeight="1" x14ac:dyDescent="0.3">
      <c r="A17" s="11" t="s">
        <v>70</v>
      </c>
      <c r="B17" s="11"/>
      <c r="C17" s="11"/>
      <c r="D17" s="11"/>
      <c r="E17" s="13" t="s">
        <v>71</v>
      </c>
      <c r="F17" s="13"/>
      <c r="G17" s="13"/>
      <c r="H17" s="13"/>
    </row>
    <row r="18" spans="1:8" x14ac:dyDescent="0.3">
      <c r="A18" s="24" t="s">
        <v>72</v>
      </c>
      <c r="B18" s="24" t="s">
        <v>73</v>
      </c>
      <c r="C18" s="24" t="s">
        <v>74</v>
      </c>
      <c r="E18" s="24" t="s">
        <v>15</v>
      </c>
      <c r="F18" s="24" t="s">
        <v>73</v>
      </c>
    </row>
    <row r="19" spans="1:8" x14ac:dyDescent="0.3">
      <c r="A19" s="25" t="s">
        <v>75</v>
      </c>
      <c r="B19" s="26">
        <f>COUNTIF('Raw Data'!Q3:Q27,"Excellent")</f>
        <v>6</v>
      </c>
      <c r="C19" s="26" t="str">
        <f>ROUND(COUNTIF('Raw Data'!Q3:Q27,"Excellent")/25*100,1)&amp;"%"</f>
        <v>24%</v>
      </c>
      <c r="E19" s="25" t="s">
        <v>76</v>
      </c>
      <c r="F19" s="26">
        <f>COUNTIF('Raw Data'!O3:O27,"A+")</f>
        <v>4</v>
      </c>
    </row>
    <row r="20" spans="1:8" x14ac:dyDescent="0.3">
      <c r="A20" s="25" t="s">
        <v>77</v>
      </c>
      <c r="B20" s="26">
        <f>COUNTIF('Raw Data'!Q3:Q27,"Good")</f>
        <v>8</v>
      </c>
      <c r="C20" s="26" t="str">
        <f>ROUND(COUNTIF('Raw Data'!Q3:Q27,"Good")/25*100,1)&amp;"%"</f>
        <v>32%</v>
      </c>
      <c r="E20" s="25" t="s">
        <v>20</v>
      </c>
      <c r="F20" s="26">
        <f>COUNTIF('Raw Data'!O3:O27,"A")</f>
        <v>5</v>
      </c>
    </row>
    <row r="21" spans="1:8" x14ac:dyDescent="0.3">
      <c r="A21" s="25" t="s">
        <v>78</v>
      </c>
      <c r="B21" s="26">
        <f>COUNTIF('Raw Data'!Q3:Q27,"Average")</f>
        <v>7</v>
      </c>
      <c r="C21" s="26" t="str">
        <f>ROUND(COUNTIF('Raw Data'!Q3:Q27,"Average")/25*100,1)&amp;"%"</f>
        <v>28%</v>
      </c>
      <c r="E21" s="25" t="s">
        <v>79</v>
      </c>
      <c r="F21" s="26">
        <f>COUNTIF('Raw Data'!O3:O27,"B+")</f>
        <v>5</v>
      </c>
    </row>
    <row r="22" spans="1:8" x14ac:dyDescent="0.3">
      <c r="A22" s="25" t="s">
        <v>80</v>
      </c>
      <c r="B22" s="26">
        <f>COUNTIF('Raw Data'!Q3:Q27,"Poor")</f>
        <v>4</v>
      </c>
      <c r="C22" s="26" t="str">
        <f>ROUND(COUNTIF('Raw Data'!Q3:Q27,"Poor")/25*100,1)&amp;"%"</f>
        <v>16%</v>
      </c>
      <c r="E22" s="25" t="s">
        <v>26</v>
      </c>
      <c r="F22" s="26">
        <f>COUNTIF('Raw Data'!O3:O27,"B")</f>
        <v>4</v>
      </c>
    </row>
    <row r="23" spans="1:8" x14ac:dyDescent="0.3">
      <c r="E23" s="25" t="s">
        <v>32</v>
      </c>
      <c r="F23" s="26">
        <f>COUNTIF('Raw Data'!O3:O27,"C")</f>
        <v>3</v>
      </c>
    </row>
    <row r="24" spans="1:8" x14ac:dyDescent="0.3">
      <c r="E24" s="25" t="s">
        <v>81</v>
      </c>
      <c r="F24" s="26">
        <f>COUNTIF('Raw Data'!O3:O27,"D")</f>
        <v>3</v>
      </c>
    </row>
    <row r="25" spans="1:8" x14ac:dyDescent="0.3">
      <c r="E25" s="25" t="s">
        <v>82</v>
      </c>
      <c r="F25" s="26">
        <f>COUNTIF('Raw Data'!O3:O27,"F")</f>
        <v>1</v>
      </c>
    </row>
    <row r="28" spans="1:8" ht="19.5" customHeight="1" x14ac:dyDescent="0.3">
      <c r="A28" s="10" t="s">
        <v>83</v>
      </c>
      <c r="B28" s="10"/>
      <c r="C28" s="10"/>
      <c r="D28" s="10"/>
      <c r="E28" s="10"/>
      <c r="F28" s="10"/>
      <c r="G28" s="10"/>
      <c r="H28" s="10"/>
    </row>
    <row r="29" spans="1:8" x14ac:dyDescent="0.3">
      <c r="A29" s="27" t="s">
        <v>72</v>
      </c>
      <c r="B29" s="27" t="s">
        <v>68</v>
      </c>
      <c r="C29" s="27" t="s">
        <v>84</v>
      </c>
    </row>
    <row r="30" spans="1:8" x14ac:dyDescent="0.3">
      <c r="A30" s="25" t="s">
        <v>75</v>
      </c>
      <c r="B30" s="26">
        <f>ROUND(AVERAGEIF('Raw Data'!Q3:Q27,"Excellent",'Raw Data'!K3:K27),1)</f>
        <v>8.6999999999999993</v>
      </c>
      <c r="C30" s="26">
        <f>ROUND(AVERAGEIF('Raw Data'!Q3:Q27,"Excellent",'Raw Data'!N3:N27),1)</f>
        <v>92.1</v>
      </c>
    </row>
    <row r="31" spans="1:8" x14ac:dyDescent="0.3">
      <c r="A31" s="25" t="s">
        <v>77</v>
      </c>
      <c r="B31" s="26">
        <f>ROUND(AVERAGEIF('Raw Data'!Q3:Q27,"Good",'Raw Data'!K3:K27),1)</f>
        <v>6.3</v>
      </c>
      <c r="C31" s="26">
        <f>ROUND(AVERAGEIF('Raw Data'!Q3:Q27,"Good",'Raw Data'!N3:N27),1)</f>
        <v>78</v>
      </c>
    </row>
    <row r="32" spans="1:8" x14ac:dyDescent="0.3">
      <c r="A32" s="25" t="s">
        <v>78</v>
      </c>
      <c r="B32" s="26">
        <f>ROUND(AVERAGEIF('Raw Data'!Q3:Q27,"Average",'Raw Data'!K3:K27),1)</f>
        <v>3.9</v>
      </c>
      <c r="C32" s="26">
        <f>ROUND(AVERAGEIF('Raw Data'!Q3:Q27,"Average",'Raw Data'!N3:N27),1)</f>
        <v>59.4</v>
      </c>
    </row>
    <row r="33" spans="1:3" x14ac:dyDescent="0.3">
      <c r="A33" s="25" t="s">
        <v>80</v>
      </c>
      <c r="B33" s="26">
        <f>ROUND(AVERAGEIF('Raw Data'!Q3:Q27,"Poor",'Raw Data'!K3:K27),1)</f>
        <v>2</v>
      </c>
      <c r="C33" s="26">
        <f>ROUND(AVERAGEIF('Raw Data'!Q3:Q27,"Poor",'Raw Data'!N3:N27),1)</f>
        <v>39.9</v>
      </c>
    </row>
  </sheetData>
  <mergeCells count="6">
    <mergeCell ref="A28:H28"/>
    <mergeCell ref="A1:L1"/>
    <mergeCell ref="A3:C3"/>
    <mergeCell ref="E3:G3"/>
    <mergeCell ref="A17:D17"/>
    <mergeCell ref="E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"/>
  <sheetViews>
    <sheetView showGridLines="0" zoomScaleNormal="100" workbookViewId="0"/>
  </sheetViews>
  <sheetFormatPr defaultColWidth="8.6640625" defaultRowHeight="14.4" x14ac:dyDescent="0.3"/>
  <cols>
    <col min="1" max="19" width="10" customWidth="1"/>
  </cols>
  <sheetData>
    <row r="1" spans="1:18" ht="45" customHeight="1" x14ac:dyDescent="0.3">
      <c r="A1" s="9" t="s">
        <v>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8" customHeight="1" x14ac:dyDescent="0.3">
      <c r="A3" s="8" t="s">
        <v>86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8" customHeight="1" x14ac:dyDescent="0.3"/>
    <row r="5" spans="1:18" ht="18" customHeight="1" x14ac:dyDescent="0.3">
      <c r="A5" s="7" t="s">
        <v>87</v>
      </c>
      <c r="B5" s="7"/>
      <c r="D5" s="7" t="s">
        <v>88</v>
      </c>
      <c r="E5" s="7"/>
      <c r="G5" s="7" t="s">
        <v>89</v>
      </c>
      <c r="H5" s="7"/>
      <c r="J5" s="7" t="s">
        <v>90</v>
      </c>
      <c r="K5" s="7"/>
      <c r="M5" s="7" t="s">
        <v>91</v>
      </c>
      <c r="N5" s="7"/>
      <c r="P5" s="7" t="s">
        <v>92</v>
      </c>
      <c r="Q5" s="7"/>
    </row>
    <row r="6" spans="1:18" ht="34.5" customHeight="1" x14ac:dyDescent="0.3">
      <c r="A6" s="6">
        <f>Analysis!B4</f>
        <v>25</v>
      </c>
      <c r="B6" s="6"/>
      <c r="D6" s="5">
        <f>Analysis!B5</f>
        <v>70.069999999999993</v>
      </c>
      <c r="E6" s="5"/>
      <c r="G6" s="4">
        <f>COUNTIF('Raw Data'!P3:P27,"PASS")/25*100</f>
        <v>92</v>
      </c>
      <c r="H6" s="4"/>
      <c r="J6" s="3">
        <f>Analysis!B6</f>
        <v>97</v>
      </c>
      <c r="K6" s="3"/>
      <c r="M6" s="2">
        <f>Analysis!B11</f>
        <v>9</v>
      </c>
      <c r="N6" s="2"/>
      <c r="P6" s="1">
        <f>Analysis!B12</f>
        <v>6</v>
      </c>
      <c r="Q6" s="1"/>
    </row>
    <row r="7" spans="1:18" ht="18" customHeight="1" x14ac:dyDescent="0.3"/>
    <row r="8" spans="1:18" ht="18" customHeight="1" x14ac:dyDescent="0.3"/>
    <row r="9" spans="1:18" ht="18" customHeight="1" x14ac:dyDescent="0.3">
      <c r="A9" s="34" t="s">
        <v>93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1:18" ht="18" customHeight="1" x14ac:dyDescent="0.3"/>
    <row r="11" spans="1:18" ht="18" customHeight="1" x14ac:dyDescent="0.3"/>
    <row r="12" spans="1:18" ht="18" customHeight="1" x14ac:dyDescent="0.3"/>
    <row r="13" spans="1:18" ht="18" customHeight="1" x14ac:dyDescent="0.3"/>
    <row r="14" spans="1:18" ht="18" customHeight="1" x14ac:dyDescent="0.3"/>
    <row r="15" spans="1:18" ht="18" customHeight="1" x14ac:dyDescent="0.3"/>
    <row r="16" spans="1:18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spans="1:18" ht="18" customHeight="1" x14ac:dyDescent="0.3"/>
    <row r="50" spans="1:18" ht="18" customHeight="1" x14ac:dyDescent="0.3"/>
    <row r="51" spans="1:18" ht="18" customHeight="1" x14ac:dyDescent="0.3"/>
    <row r="52" spans="1:18" ht="18" customHeight="1" x14ac:dyDescent="0.3"/>
    <row r="53" spans="1:18" ht="18" customHeight="1" x14ac:dyDescent="0.3"/>
    <row r="54" spans="1:18" ht="18" customHeight="1" x14ac:dyDescent="0.3"/>
    <row r="55" spans="1:18" ht="18" customHeight="1" x14ac:dyDescent="0.3"/>
    <row r="56" spans="1:18" ht="18" customHeight="1" x14ac:dyDescent="0.3">
      <c r="A56" s="35" t="s">
        <v>94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</row>
    <row r="57" spans="1:18" ht="18" customHeight="1" x14ac:dyDescent="0.3"/>
    <row r="58" spans="1:18" ht="18" customHeight="1" x14ac:dyDescent="0.3"/>
    <row r="59" spans="1:18" ht="18" customHeight="1" x14ac:dyDescent="0.3"/>
  </sheetData>
  <mergeCells count="16">
    <mergeCell ref="P6:Q6"/>
    <mergeCell ref="A9:R9"/>
    <mergeCell ref="A56:R56"/>
    <mergeCell ref="A6:B6"/>
    <mergeCell ref="D6:E6"/>
    <mergeCell ref="G6:H6"/>
    <mergeCell ref="J6:K6"/>
    <mergeCell ref="M6:N6"/>
    <mergeCell ref="A1:R2"/>
    <mergeCell ref="A3:R3"/>
    <mergeCell ref="A5:B5"/>
    <mergeCell ref="D5:E5"/>
    <mergeCell ref="G5:H5"/>
    <mergeCell ref="J5:K5"/>
    <mergeCell ref="M5:N5"/>
    <mergeCell ref="P5:Q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55" customWidth="1"/>
  </cols>
  <sheetData>
    <row r="1" spans="1:10" ht="30" customHeight="1" x14ac:dyDescent="0.3">
      <c r="A1" s="36" t="s">
        <v>95</v>
      </c>
      <c r="B1" s="36"/>
      <c r="C1" s="36"/>
      <c r="D1" s="36"/>
      <c r="E1" s="36"/>
      <c r="F1" s="36"/>
      <c r="G1" s="36"/>
      <c r="H1" s="36"/>
      <c r="I1" s="36"/>
      <c r="J1" s="36"/>
    </row>
    <row r="3" spans="1:10" ht="19.5" customHeight="1" x14ac:dyDescent="0.3">
      <c r="A3" s="12" t="s">
        <v>96</v>
      </c>
      <c r="B3" s="12"/>
      <c r="C3" s="12"/>
      <c r="D3" s="12"/>
      <c r="E3" s="12"/>
      <c r="F3" s="12"/>
      <c r="G3" s="12"/>
      <c r="H3" s="12"/>
    </row>
    <row r="4" spans="1:10" x14ac:dyDescent="0.3">
      <c r="A4" s="22" t="s">
        <v>97</v>
      </c>
      <c r="B4" s="28">
        <v>70</v>
      </c>
    </row>
    <row r="5" spans="1:10" x14ac:dyDescent="0.3">
      <c r="A5" s="22" t="s">
        <v>98</v>
      </c>
      <c r="B5" s="28">
        <v>72</v>
      </c>
    </row>
    <row r="6" spans="1:10" x14ac:dyDescent="0.3">
      <c r="A6" s="22" t="s">
        <v>99</v>
      </c>
      <c r="B6" s="28">
        <v>68</v>
      </c>
    </row>
    <row r="7" spans="1:10" x14ac:dyDescent="0.3">
      <c r="A7" s="22" t="s">
        <v>100</v>
      </c>
      <c r="B7" s="28">
        <v>75</v>
      </c>
    </row>
    <row r="8" spans="1:10" x14ac:dyDescent="0.3">
      <c r="A8" s="22" t="s">
        <v>101</v>
      </c>
      <c r="B8" s="28">
        <v>73</v>
      </c>
    </row>
    <row r="9" spans="1:10" x14ac:dyDescent="0.3">
      <c r="A9" s="22" t="s">
        <v>102</v>
      </c>
      <c r="B9" s="28">
        <v>80</v>
      </c>
    </row>
    <row r="10" spans="1:10" x14ac:dyDescent="0.3">
      <c r="A10" s="22" t="s">
        <v>103</v>
      </c>
      <c r="B10" s="28">
        <v>5</v>
      </c>
    </row>
    <row r="13" spans="1:10" ht="19.5" customHeight="1" x14ac:dyDescent="0.3">
      <c r="A13" s="13" t="s">
        <v>104</v>
      </c>
      <c r="B13" s="13"/>
      <c r="C13" s="13"/>
      <c r="D13" s="13"/>
    </row>
    <row r="14" spans="1:10" x14ac:dyDescent="0.3">
      <c r="A14" s="29" t="s">
        <v>13</v>
      </c>
      <c r="B14" s="30">
        <f>SUM(B4:B8)</f>
        <v>358</v>
      </c>
    </row>
    <row r="15" spans="1:10" x14ac:dyDescent="0.3">
      <c r="A15" s="29" t="s">
        <v>14</v>
      </c>
      <c r="B15" s="30">
        <f>ROUND(AVERAGE(B4:B8),1)</f>
        <v>71.599999999999994</v>
      </c>
    </row>
    <row r="16" spans="1:10" x14ac:dyDescent="0.3">
      <c r="A16" s="29" t="s">
        <v>105</v>
      </c>
      <c r="B16" s="30" t="str">
        <f>IF(B15&gt;=90,"A+",IF(B15&gt;=80,"A",IF(B15&gt;=70,"B+",IF(B15&gt;=60,"B",IF(B15&gt;=50,"C",IF(B15&gt;=40,"D","F"))))))</f>
        <v>B+</v>
      </c>
    </row>
    <row r="17" spans="1:8" x14ac:dyDescent="0.3">
      <c r="A17" s="29" t="s">
        <v>16</v>
      </c>
      <c r="B17" s="30" t="str">
        <f>IF(AND(B15&gt;=40,B9&gt;=60),"✅ PASS","❌ FAIL")</f>
        <v>✅ PASS</v>
      </c>
    </row>
    <row r="18" spans="1:8" x14ac:dyDescent="0.3">
      <c r="A18" s="29" t="s">
        <v>17</v>
      </c>
      <c r="B18" s="30" t="str">
        <f>IF(B15&gt;=85,"🏆 Excellent",IF(B15&gt;=70,"✅ Good",IF(B15&gt;=50,"📊 Average","⚠ Poor")))</f>
        <v>✅ Good</v>
      </c>
    </row>
    <row r="19" spans="1:8" x14ac:dyDescent="0.3">
      <c r="A19" s="29" t="s">
        <v>106</v>
      </c>
      <c r="B19" s="30" t="str">
        <f>IF(OR(B9&lt;75,B15&lt;50),"⚠ AT RISK — Needs Intervention","✅ Safe — On Track")</f>
        <v>✅ Safe — On Track</v>
      </c>
    </row>
    <row r="20" spans="1:8" ht="45" customHeight="1" x14ac:dyDescent="0.3">
      <c r="A20" s="29" t="s">
        <v>107</v>
      </c>
      <c r="B20" s="31" t="str">
        <f>IF(B15&gt;=85,"Keep up the excellent work! Aim for competitive exams.",IF(B15&gt;=70,"Good performance. Focus on weak subjects.",IF(B15&gt;=50,"Average performance. Increase study hours.",IF(B15&gt;=40,"Risk of failure. Attend remedial classes urgently.","FAIL RISK — Immediate counselling &amp; support required."))))</f>
        <v>Good performance. Focus on weak subjects.</v>
      </c>
    </row>
    <row r="22" spans="1:8" x14ac:dyDescent="0.3">
      <c r="A22" s="37" t="s">
        <v>108</v>
      </c>
      <c r="B22" s="37"/>
      <c r="C22" s="37"/>
      <c r="D22" s="37"/>
      <c r="E22" s="37"/>
      <c r="F22" s="37"/>
      <c r="G22" s="37"/>
      <c r="H22" s="37"/>
    </row>
  </sheetData>
  <mergeCells count="4">
    <mergeCell ref="A1:J1"/>
    <mergeCell ref="A3:H3"/>
    <mergeCell ref="A13:D13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showGridLines="0" zoomScaleNormal="100" workbookViewId="0"/>
  </sheetViews>
  <sheetFormatPr defaultColWidth="8.6640625" defaultRowHeight="14.4" x14ac:dyDescent="0.3"/>
  <cols>
    <col min="1" max="9" width="18" customWidth="1"/>
  </cols>
  <sheetData>
    <row r="1" spans="1:9" ht="30" customHeight="1" x14ac:dyDescent="0.3">
      <c r="A1" s="14" t="s">
        <v>109</v>
      </c>
      <c r="B1" s="14"/>
      <c r="C1" s="14"/>
      <c r="D1" s="14"/>
      <c r="E1" s="14"/>
      <c r="F1" s="14"/>
      <c r="G1" s="14"/>
      <c r="H1" s="14"/>
      <c r="I1" s="14"/>
    </row>
    <row r="3" spans="1:9" ht="18" customHeight="1" x14ac:dyDescent="0.3">
      <c r="A3" s="38" t="s">
        <v>110</v>
      </c>
      <c r="B3" s="38"/>
      <c r="C3" s="38"/>
      <c r="D3" s="38"/>
      <c r="E3" s="38"/>
      <c r="F3" s="38"/>
      <c r="G3" s="38"/>
      <c r="H3" s="38"/>
    </row>
    <row r="4" spans="1:9" ht="27.75" customHeight="1" x14ac:dyDescent="0.3">
      <c r="A4" s="39" t="str">
        <f>"Out of "&amp;COUNTA('Raw Data'!A3:A27)&amp;" students, "&amp;COUNTIF('Raw Data'!P3:P27,"PASS")&amp;" passed ("&amp;ROUND(COUNTIF('Raw Data'!P3:P27,"PASS")/25*100,1)&amp;"%). "&amp;COUNTIF('Raw Data'!P3:P27,"FAIL")&amp;" students failed and require immediate attention."</f>
        <v>Out of 25 students, 23 passed (92%). 2 students failed and require immediate attention.</v>
      </c>
      <c r="B4" s="39"/>
      <c r="C4" s="39"/>
      <c r="D4" s="39"/>
      <c r="E4" s="39"/>
      <c r="F4" s="39"/>
      <c r="G4" s="39"/>
      <c r="H4" s="39"/>
    </row>
    <row r="6" spans="1:9" ht="18" customHeight="1" x14ac:dyDescent="0.3">
      <c r="A6" s="40" t="s">
        <v>111</v>
      </c>
      <c r="B6" s="40"/>
      <c r="C6" s="40"/>
      <c r="D6" s="40"/>
      <c r="E6" s="40"/>
      <c r="F6" s="40"/>
      <c r="G6" s="40"/>
      <c r="H6" s="40"/>
    </row>
    <row r="7" spans="1:9" ht="27.75" customHeight="1" x14ac:dyDescent="0.3">
      <c r="A7" s="39" t="str">
        <f>"The highest average score in the class is "&amp;MAX('Raw Data'!N3:N27)&amp;" marks. Top students are consistently above 90% in all subjects."</f>
        <v>The highest average score in the class is 97 marks. Top students are consistently above 90% in all subjects.</v>
      </c>
      <c r="B7" s="39"/>
      <c r="C7" s="39"/>
      <c r="D7" s="39"/>
      <c r="E7" s="39"/>
      <c r="F7" s="39"/>
      <c r="G7" s="39"/>
      <c r="H7" s="39"/>
    </row>
    <row r="9" spans="1:9" ht="18" customHeight="1" x14ac:dyDescent="0.3">
      <c r="A9" s="41" t="s">
        <v>112</v>
      </c>
      <c r="B9" s="41"/>
      <c r="C9" s="41"/>
      <c r="D9" s="41"/>
      <c r="E9" s="41"/>
      <c r="F9" s="41"/>
      <c r="G9" s="41"/>
      <c r="H9" s="41"/>
    </row>
    <row r="10" spans="1:9" ht="27.75" customHeight="1" x14ac:dyDescent="0.3">
      <c r="A10" s="39" t="str">
        <f>COUNTIF('Raw Data'!R3:R27,"⚠ At-Risk")&amp;" students are flagged as At-Risk due to low attendance (&lt;75%) or average marks below 50. Targeted intervention is recommended."</f>
        <v>9 students are flagged as At-Risk due to low attendance (&lt;75%) or average marks below 50. Targeted intervention is recommended.</v>
      </c>
      <c r="B10" s="39"/>
      <c r="C10" s="39"/>
      <c r="D10" s="39"/>
      <c r="E10" s="39"/>
      <c r="F10" s="39"/>
      <c r="G10" s="39"/>
      <c r="H10" s="39"/>
    </row>
    <row r="12" spans="1:9" ht="18" customHeight="1" x14ac:dyDescent="0.3">
      <c r="A12" s="42" t="s">
        <v>113</v>
      </c>
      <c r="B12" s="42"/>
      <c r="C12" s="42"/>
      <c r="D12" s="42"/>
      <c r="E12" s="42"/>
      <c r="F12" s="42"/>
      <c r="G12" s="42"/>
      <c r="H12" s="42"/>
    </row>
    <row r="13" spans="1:9" ht="27.75" customHeight="1" x14ac:dyDescent="0.3">
      <c r="A13" s="39" t="str">
        <f>"Students categorized as Excellent study "&amp;ROUND(AVERAGEIF('Raw Data'!Q3:Q27,"Excellent",'Raw Data'!K3:K27),1)&amp;" hrs/day on average, vs "&amp;ROUND(AVERAGEIF('Raw Data'!Q3:Q27,"Poor",'Raw Data'!K3:K27),1)&amp;" hrs/day for Poor performers. More study hours = better results."</f>
        <v>Students categorized as Excellent study 8.7 hrs/day on average, vs 2 hrs/day for Poor performers. More study hours = better results.</v>
      </c>
      <c r="B13" s="39"/>
      <c r="C13" s="39"/>
      <c r="D13" s="39"/>
      <c r="E13" s="39"/>
      <c r="F13" s="39"/>
      <c r="G13" s="39"/>
      <c r="H13" s="39"/>
    </row>
    <row r="15" spans="1:9" ht="18" customHeight="1" x14ac:dyDescent="0.3">
      <c r="A15" s="43" t="s">
        <v>114</v>
      </c>
      <c r="B15" s="43"/>
      <c r="C15" s="43"/>
      <c r="D15" s="43"/>
      <c r="E15" s="43"/>
      <c r="F15" s="43"/>
      <c r="G15" s="43"/>
      <c r="H15" s="43"/>
    </row>
    <row r="16" spans="1:9" ht="27.75" customHeight="1" x14ac:dyDescent="0.3">
      <c r="A16" s="39" t="str">
        <f>"Best class average is in Math ("&amp;ROUND(AVERAGE('Raw Data'!E3:E27),1)&amp;" marks) and Science ("&amp;ROUND(AVERAGE('Raw Data'!F3:F27),1)&amp;" marks). Social Studies has the most room for improvement."</f>
        <v>Best class average is in Math (69.8 marks) and Science (71.5 marks). Social Studies has the most room for improvement.</v>
      </c>
      <c r="B16" s="39"/>
      <c r="C16" s="39"/>
      <c r="D16" s="39"/>
      <c r="E16" s="39"/>
      <c r="F16" s="39"/>
      <c r="G16" s="39"/>
      <c r="H16" s="39"/>
    </row>
    <row r="18" spans="1:8" ht="18" customHeight="1" x14ac:dyDescent="0.3">
      <c r="A18" s="44" t="s">
        <v>115</v>
      </c>
      <c r="B18" s="44"/>
      <c r="C18" s="44"/>
      <c r="D18" s="44"/>
      <c r="E18" s="44"/>
      <c r="F18" s="44"/>
      <c r="G18" s="44"/>
      <c r="H18" s="44"/>
    </row>
    <row r="19" spans="1:8" ht="27.75" customHeight="1" x14ac:dyDescent="0.3">
      <c r="A19" s="39" t="s">
        <v>116</v>
      </c>
      <c r="B19" s="39"/>
      <c r="C19" s="39"/>
      <c r="D19" s="39"/>
      <c r="E19" s="39"/>
      <c r="F19" s="39"/>
      <c r="G19" s="39"/>
      <c r="H19" s="39"/>
    </row>
    <row r="21" spans="1:8" ht="18" customHeight="1" x14ac:dyDescent="0.3">
      <c r="A21" s="44" t="s">
        <v>117</v>
      </c>
      <c r="B21" s="44"/>
      <c r="C21" s="44"/>
      <c r="D21" s="44"/>
      <c r="E21" s="44"/>
      <c r="F21" s="44"/>
      <c r="G21" s="44"/>
      <c r="H21" s="44"/>
    </row>
    <row r="22" spans="1:8" ht="27.75" customHeight="1" x14ac:dyDescent="0.3">
      <c r="A22" s="39" t="s">
        <v>118</v>
      </c>
      <c r="B22" s="39"/>
      <c r="C22" s="39"/>
      <c r="D22" s="39"/>
      <c r="E22" s="39"/>
      <c r="F22" s="39"/>
      <c r="G22" s="39"/>
      <c r="H22" s="39"/>
    </row>
    <row r="24" spans="1:8" ht="18" customHeight="1" x14ac:dyDescent="0.3">
      <c r="A24" s="44" t="s">
        <v>119</v>
      </c>
      <c r="B24" s="44"/>
      <c r="C24" s="44"/>
      <c r="D24" s="44"/>
      <c r="E24" s="44"/>
      <c r="F24" s="44"/>
      <c r="G24" s="44"/>
      <c r="H24" s="44"/>
    </row>
    <row r="25" spans="1:8" ht="27.75" customHeight="1" x14ac:dyDescent="0.3">
      <c r="A25" s="39" t="s">
        <v>120</v>
      </c>
      <c r="B25" s="39"/>
      <c r="C25" s="39"/>
      <c r="D25" s="39"/>
      <c r="E25" s="39"/>
      <c r="F25" s="39"/>
      <c r="G25" s="39"/>
      <c r="H25" s="39"/>
    </row>
    <row r="27" spans="1:8" ht="18" customHeight="1" x14ac:dyDescent="0.3">
      <c r="A27" s="44" t="s">
        <v>121</v>
      </c>
      <c r="B27" s="44"/>
      <c r="C27" s="44"/>
      <c r="D27" s="44"/>
      <c r="E27" s="44"/>
      <c r="F27" s="44"/>
      <c r="G27" s="44"/>
      <c r="H27" s="44"/>
    </row>
    <row r="28" spans="1:8" ht="27.75" customHeight="1" x14ac:dyDescent="0.3">
      <c r="A28" s="39" t="s">
        <v>122</v>
      </c>
      <c r="B28" s="39"/>
      <c r="C28" s="39"/>
      <c r="D28" s="39"/>
      <c r="E28" s="39"/>
      <c r="F28" s="39"/>
      <c r="G28" s="39"/>
      <c r="H28" s="39"/>
    </row>
  </sheetData>
  <mergeCells count="19">
    <mergeCell ref="A24:H24"/>
    <mergeCell ref="A25:H25"/>
    <mergeCell ref="A27:H27"/>
    <mergeCell ref="A28:H28"/>
    <mergeCell ref="A16:H16"/>
    <mergeCell ref="A18:H18"/>
    <mergeCell ref="A19:H19"/>
    <mergeCell ref="A21:H21"/>
    <mergeCell ref="A22:H22"/>
    <mergeCell ref="A9:H9"/>
    <mergeCell ref="A10:H10"/>
    <mergeCell ref="A12:H12"/>
    <mergeCell ref="A13:H13"/>
    <mergeCell ref="A15:H15"/>
    <mergeCell ref="A1:I1"/>
    <mergeCell ref="A3:H3"/>
    <mergeCell ref="A4:H4"/>
    <mergeCell ref="A6:H6"/>
    <mergeCell ref="A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55" customWidth="1"/>
    <col min="3" max="3" width="30" customWidth="1"/>
  </cols>
  <sheetData>
    <row r="1" spans="1:3" ht="30" customHeight="1" x14ac:dyDescent="0.3">
      <c r="A1" s="14" t="s">
        <v>123</v>
      </c>
      <c r="B1" s="14"/>
      <c r="C1" s="14"/>
    </row>
    <row r="2" spans="1:3" x14ac:dyDescent="0.3">
      <c r="A2" s="15" t="s">
        <v>124</v>
      </c>
      <c r="B2" s="15" t="s">
        <v>125</v>
      </c>
      <c r="C2" s="15" t="s">
        <v>126</v>
      </c>
    </row>
    <row r="3" spans="1:3" ht="30" customHeight="1" x14ac:dyDescent="0.3">
      <c r="A3" s="32" t="s">
        <v>14</v>
      </c>
      <c r="B3" s="32" t="s">
        <v>127</v>
      </c>
      <c r="C3" s="32" t="s">
        <v>128</v>
      </c>
    </row>
    <row r="4" spans="1:3" ht="30" customHeight="1" x14ac:dyDescent="0.3">
      <c r="A4" s="33" t="s">
        <v>13</v>
      </c>
      <c r="B4" s="33" t="s">
        <v>129</v>
      </c>
      <c r="C4" s="33" t="s">
        <v>130</v>
      </c>
    </row>
    <row r="5" spans="1:3" ht="30" customHeight="1" x14ac:dyDescent="0.3">
      <c r="A5" s="32" t="s">
        <v>131</v>
      </c>
      <c r="B5" s="32" t="s">
        <v>132</v>
      </c>
      <c r="C5" s="32" t="s">
        <v>133</v>
      </c>
    </row>
    <row r="6" spans="1:3" ht="30" customHeight="1" x14ac:dyDescent="0.3">
      <c r="A6" s="33" t="s">
        <v>16</v>
      </c>
      <c r="B6" s="33" t="s">
        <v>134</v>
      </c>
      <c r="C6" s="33" t="s">
        <v>135</v>
      </c>
    </row>
    <row r="7" spans="1:3" ht="30" customHeight="1" x14ac:dyDescent="0.3">
      <c r="A7" s="32" t="s">
        <v>136</v>
      </c>
      <c r="B7" s="32" t="s">
        <v>137</v>
      </c>
      <c r="C7" s="32" t="s">
        <v>138</v>
      </c>
    </row>
    <row r="8" spans="1:3" ht="30" customHeight="1" x14ac:dyDescent="0.3">
      <c r="A8" s="33" t="s">
        <v>139</v>
      </c>
      <c r="B8" s="33" t="s">
        <v>140</v>
      </c>
      <c r="C8" s="33" t="s">
        <v>141</v>
      </c>
    </row>
    <row r="9" spans="1:3" ht="30" customHeight="1" x14ac:dyDescent="0.3">
      <c r="A9" s="32" t="s">
        <v>142</v>
      </c>
      <c r="B9" s="32" t="s">
        <v>143</v>
      </c>
      <c r="C9" s="32" t="s">
        <v>144</v>
      </c>
    </row>
    <row r="10" spans="1:3" ht="30" customHeight="1" x14ac:dyDescent="0.3">
      <c r="A10" s="33" t="s">
        <v>145</v>
      </c>
      <c r="B10" s="33" t="s">
        <v>146</v>
      </c>
      <c r="C10" s="33" t="s">
        <v>147</v>
      </c>
    </row>
    <row r="11" spans="1:3" ht="30" customHeight="1" x14ac:dyDescent="0.3">
      <c r="A11" s="32" t="s">
        <v>64</v>
      </c>
      <c r="B11" s="32" t="s">
        <v>148</v>
      </c>
      <c r="C11" s="32" t="s">
        <v>149</v>
      </c>
    </row>
    <row r="12" spans="1:3" ht="30" customHeight="1" x14ac:dyDescent="0.3">
      <c r="A12" s="33" t="s">
        <v>150</v>
      </c>
      <c r="B12" s="33" t="s">
        <v>151</v>
      </c>
      <c r="C12" s="33" t="s">
        <v>152</v>
      </c>
    </row>
    <row r="13" spans="1:3" ht="30" customHeight="1" x14ac:dyDescent="0.3">
      <c r="A13" s="32" t="s">
        <v>153</v>
      </c>
      <c r="B13" s="32" t="s">
        <v>154</v>
      </c>
      <c r="C13" s="32" t="s">
        <v>155</v>
      </c>
    </row>
    <row r="14" spans="1:3" ht="30" customHeight="1" x14ac:dyDescent="0.3">
      <c r="A14" s="33" t="s">
        <v>156</v>
      </c>
      <c r="B14" s="33" t="s">
        <v>157</v>
      </c>
      <c r="C14" s="33" t="s">
        <v>158</v>
      </c>
    </row>
    <row r="15" spans="1:3" ht="30" customHeight="1" x14ac:dyDescent="0.3">
      <c r="A15" s="32" t="s">
        <v>159</v>
      </c>
      <c r="B15" s="32" t="s">
        <v>160</v>
      </c>
      <c r="C15" s="32" t="s">
        <v>161</v>
      </c>
    </row>
    <row r="16" spans="1:3" ht="30" customHeight="1" x14ac:dyDescent="0.3">
      <c r="A16" s="33" t="s">
        <v>162</v>
      </c>
      <c r="B16" s="33" t="s">
        <v>163</v>
      </c>
      <c r="C16" s="33" t="s">
        <v>164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Analysis</vt:lpstr>
      <vt:lpstr>Dashboard</vt:lpstr>
      <vt:lpstr>Prediction</vt:lpstr>
      <vt:lpstr>Insights</vt:lpstr>
      <vt:lpstr>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Chanpreet Singh</cp:lastModifiedBy>
  <cp:revision>1</cp:revision>
  <dcterms:created xsi:type="dcterms:W3CDTF">2026-04-09T11:43:51Z</dcterms:created>
  <dcterms:modified xsi:type="dcterms:W3CDTF">2026-05-01T05:02:01Z</dcterms:modified>
  <dc:language>en-US</dc:language>
</cp:coreProperties>
</file>